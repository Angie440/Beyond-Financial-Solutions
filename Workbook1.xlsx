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Ex3.xml" ContentType="application/vnd.ms-office.chartex+xml"/>
  <Override PartName="/xl/charts/style5.xml" ContentType="application/vnd.ms-office.chartstyle+xml"/>
  <Override PartName="/xl/charts/colors5.xml" ContentType="application/vnd.ms-office.chartcolorstyle+xml"/>
  <Override PartName="/xl/charts/chart3.xml" ContentType="application/vnd.openxmlformats-officedocument.drawingml.chart+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Ex5.xml" ContentType="application/vnd.ms-office.chartex+xml"/>
  <Override PartName="/xl/charts/style9.xml" ContentType="application/vnd.ms-office.chartstyle+xml"/>
  <Override PartName="/xl/charts/colors9.xml" ContentType="application/vnd.ms-office.chartcolorstyle+xml"/>
  <Override PartName="/xl/charts/chartEx6.xml" ContentType="application/vnd.ms-office.chartex+xml"/>
  <Override PartName="/xl/charts/style10.xml" ContentType="application/vnd.ms-office.chartstyle+xml"/>
  <Override PartName="/xl/charts/colors10.xml" ContentType="application/vnd.ms-office.chartcolorstyle+xml"/>
  <Override PartName="/xl/charts/chartEx7.xml" ContentType="application/vnd.ms-office.chartex+xml"/>
  <Override PartName="/xl/charts/style11.xml" ContentType="application/vnd.ms-office.chartstyle+xml"/>
  <Override PartName="/xl/charts/colors11.xml" ContentType="application/vnd.ms-office.chartcolorstyle+xml"/>
  <Override PartName="/xl/charts/chartEx8.xml" ContentType="application/vnd.ms-office.chartex+xml"/>
  <Override PartName="/xl/charts/style12.xml" ContentType="application/vnd.ms-office.chartstyle+xml"/>
  <Override PartName="/xl/charts/colors12.xml" ContentType="application/vnd.ms-office.chartcolorstyle+xml"/>
  <Override PartName="/xl/charts/chartEx9.xml" ContentType="application/vnd.ms-office.chartex+xml"/>
  <Override PartName="/xl/charts/style13.xml" ContentType="application/vnd.ms-office.chartstyle+xml"/>
  <Override PartName="/xl/charts/colors13.xml" ContentType="application/vnd.ms-office.chartcolorstyle+xml"/>
  <Override PartName="/xl/charts/chartEx10.xml" ContentType="application/vnd.ms-office.chartex+xml"/>
  <Override PartName="/xl/charts/style14.xml" ContentType="application/vnd.ms-office.chartstyle+xml"/>
  <Override PartName="/xl/charts/colors14.xml" ContentType="application/vnd.ms-office.chartcolorstyle+xml"/>
  <Override PartName="/xl/charts/chartEx11.xml" ContentType="application/vnd.ms-office.chartex+xml"/>
  <Override PartName="/xl/charts/style15.xml" ContentType="application/vnd.ms-office.chartstyle+xml"/>
  <Override PartName="/xl/charts/colors15.xml" ContentType="application/vnd.ms-office.chartcolorstyle+xml"/>
  <Override PartName="/xl/charts/chartEx12.xml" ContentType="application/vnd.ms-office.chartex+xml"/>
  <Override PartName="/xl/charts/style16.xml" ContentType="application/vnd.ms-office.chartstyle+xml"/>
  <Override PartName="/xl/charts/colors16.xml" ContentType="application/vnd.ms-office.chartcolorstyle+xml"/>
  <Override PartName="/xl/charts/chartEx13.xml" ContentType="application/vnd.ms-office.chartex+xml"/>
  <Override PartName="/xl/charts/style17.xml" ContentType="application/vnd.ms-office.chartstyle+xml"/>
  <Override PartName="/xl/charts/colors17.xml" ContentType="application/vnd.ms-office.chartcolorstyle+xml"/>
  <Override PartName="/xl/charts/chart5.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2.xml" ContentType="application/vnd.openxmlformats-officedocument.drawing+xml"/>
  <Override PartName="/xl/charts/chartEx14.xml" ContentType="application/vnd.ms-office.chartex+xml"/>
  <Override PartName="/xl/charts/style19.xml" ContentType="application/vnd.ms-office.chartstyle+xml"/>
  <Override PartName="/xl/charts/colors19.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6.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charts/chart7.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harts/chart8.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6.xml" ContentType="application/vnd.openxmlformats-officedocument.drawing+xml"/>
  <Override PartName="/xl/charts/chartEx15.xml" ContentType="application/vnd.ms-office.chartex+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mc:AlternateContent xmlns:mc="http://schemas.openxmlformats.org/markup-compatibility/2006">
    <mc:Choice Requires="x15">
      <x15ac:absPath xmlns:x15ac="http://schemas.microsoft.com/office/spreadsheetml/2010/11/ac" url="https://kingdombankltd-my.sharepoint.com/personal/leon_shilisia_kingdombankltd_co_ke/Documents/"/>
    </mc:Choice>
  </mc:AlternateContent>
  <xr:revisionPtr revIDLastSave="0" documentId="8_{ABCD5632-1532-4CDE-8A18-3E68B99EC63F}" xr6:coauthVersionLast="47" xr6:coauthVersionMax="47" xr10:uidLastSave="{00000000-0000-0000-0000-000000000000}"/>
  <bookViews>
    <workbookView xWindow="-120" yWindow="-120" windowWidth="29040" windowHeight="15840" xr2:uid="{00000000-000D-0000-FFFF-FFFF00000000}"/>
  </bookViews>
  <sheets>
    <sheet name="Dashboard " sheetId="4" r:id="rId1"/>
    <sheet name="STATISTICAL SUMMARY" sheetId="23" r:id="rId2"/>
    <sheet name="DATA " sheetId="2" r:id="rId3"/>
    <sheet name="SOURCE" sheetId="1" r:id="rId4"/>
    <sheet name="PIVOT TABLES" sheetId="3" r:id="rId5"/>
    <sheet name="RFM ANALYSIS" sheetId="22" r:id="rId6"/>
    <sheet name="FORECAST(Total USD)" sheetId="29" r:id="rId7"/>
    <sheet name="FORECAST(Retail_price)" sheetId="30" r:id="rId8"/>
    <sheet name="FORECAST(Oder_Quantity)" sheetId="31" r:id="rId9"/>
    <sheet name="Box Plot" sheetId="8" r:id="rId10"/>
  </sheets>
  <definedNames>
    <definedName name="_xlnm._FilterDatabase" localSheetId="2" hidden="1">'DATA '!$A$1:$N$1</definedName>
    <definedName name="_xlnm._FilterDatabase" localSheetId="3" hidden="1">SOURCE!$A$1:$H$1</definedName>
    <definedName name="_xlchart.v1.0" hidden="1">'PIVOT TABLES'!$C$195:$C$201</definedName>
    <definedName name="_xlchart.v1.1" hidden="1">'PIVOT TABLES'!$D$195:$D$201</definedName>
    <definedName name="_xlchart.v1.10" hidden="1">'Box Plot'!$C$1</definedName>
    <definedName name="_xlchart.v1.11" hidden="1">'Box Plot'!$C$2:$C$71</definedName>
    <definedName name="_xlchart.v1.17" hidden="1">'RFM ANALYSIS'!$H$2:$H$52</definedName>
    <definedName name="_xlchart.v1.18" hidden="1">'RFM ANALYSIS'!$H$8</definedName>
    <definedName name="_xlchart.v1.19" hidden="1">'DATA '!$M$1</definedName>
    <definedName name="_xlchart.v1.2" hidden="1">'DATA '!$I$1</definedName>
    <definedName name="_xlchart.v1.20" hidden="1">'DATA '!$M$46:$M$71</definedName>
    <definedName name="_xlchart.v1.21" hidden="1">'DATA '!$J$1</definedName>
    <definedName name="_xlchart.v1.22" hidden="1">'DATA '!$J$46:$J$71</definedName>
    <definedName name="_xlchart.v1.23" hidden="1">'DATA '!$K$1</definedName>
    <definedName name="_xlchart.v1.24" hidden="1">'DATA '!$K$46:$K$71</definedName>
    <definedName name="_xlchart.v1.25" hidden="1">'DATA '!$O$1</definedName>
    <definedName name="_xlchart.v1.26" hidden="1">'DATA '!$O$46:$O$71</definedName>
    <definedName name="_xlchart.v1.27" hidden="1">'DATA '!$E$1</definedName>
    <definedName name="_xlchart.v1.28" hidden="1">'DATA '!$E$46:$E$74</definedName>
    <definedName name="_xlchart.v1.29" hidden="1">'DATA '!$I$1</definedName>
    <definedName name="_xlchart.v1.3" hidden="1">'DATA '!$I$46:$I$71</definedName>
    <definedName name="_xlchart.v1.30" hidden="1">'DATA '!$I$46:$I$71</definedName>
    <definedName name="_xlchart.v1.31" hidden="1">'RFM ANALYSIS'!$H$2:$H$52</definedName>
    <definedName name="_xlchart.v1.32" hidden="1">'RFM ANALYSIS'!$H$8</definedName>
    <definedName name="_xlchart.v1.33" hidden="1">'Box Plot'!$A$1</definedName>
    <definedName name="_xlchart.v1.34" hidden="1">'Box Plot'!$A$2:$A$71</definedName>
    <definedName name="_xlchart.v1.35" hidden="1">'Box Plot'!$B$1</definedName>
    <definedName name="_xlchart.v1.36" hidden="1">'Box Plot'!$B$2:$B$71</definedName>
    <definedName name="_xlchart.v1.37" hidden="1">'Box Plot'!$C$1</definedName>
    <definedName name="_xlchart.v1.38" hidden="1">'Box Plot'!$C$2:$C$71</definedName>
    <definedName name="_xlchart.v1.6" hidden="1">'Box Plot'!$A$1</definedName>
    <definedName name="_xlchart.v1.7" hidden="1">'Box Plot'!$A$2:$A$71</definedName>
    <definedName name="_xlchart.v1.8" hidden="1">'Box Plot'!$B$1</definedName>
    <definedName name="_xlchart.v1.9" hidden="1">'Box Plot'!$B$2:$B$71</definedName>
    <definedName name="_xlchart.v2.12" hidden="1">'PIVOT TABLES'!$C$9:$C$13</definedName>
    <definedName name="_xlchart.v2.13" hidden="1">'PIVOT TABLES'!$D$8</definedName>
    <definedName name="_xlchart.v2.14" hidden="1">'PIVOT TABLES'!$D$9:$D$13</definedName>
    <definedName name="_xlchart.v2.15" hidden="1">'PIVOT TABLES'!$C$62:$C$68</definedName>
    <definedName name="_xlchart.v2.16" hidden="1">'PIVOT TABLES'!$D$62:$D$68</definedName>
    <definedName name="_xlchart.v2.4" hidden="1">'PIVOT TABLES'!$C$296:$C$300</definedName>
    <definedName name="_xlchart.v2.5" hidden="1">'PIVOT TABLES'!$D$296:$D$300</definedName>
    <definedName name="Slicer_DAY">#N/A</definedName>
    <definedName name="Slicer_NONTH">#N/A</definedName>
    <definedName name="Slicer_YEAR">#N/A</definedName>
    <definedName name="TOTALUSD">'DATA '!$N$72</definedName>
  </definedNames>
  <calcPr calcId="191028"/>
  <pivotCaches>
    <pivotCache cacheId="339" r:id="rId11"/>
    <pivotCache cacheId="34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3" l="1"/>
  <c r="L5" i="3"/>
  <c r="L6" i="3"/>
  <c r="L7" i="3"/>
  <c r="L8" i="3"/>
  <c r="L9" i="3"/>
  <c r="L3" i="3"/>
  <c r="C9" i="3"/>
  <c r="C10" i="3"/>
  <c r="C11" i="3"/>
  <c r="C12" i="3"/>
  <c r="C13" i="3"/>
  <c r="C14" i="3"/>
  <c r="T2" i="2"/>
  <c r="N72" i="2"/>
  <c r="U2" i="2"/>
  <c r="S2" i="2"/>
  <c r="A72" i="2"/>
  <c r="I72" i="2"/>
  <c r="J72" i="2"/>
  <c r="M72"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F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E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K46" i="2"/>
  <c r="C55" i="31"/>
  <c r="C50" i="30"/>
  <c r="C54" i="29"/>
  <c r="H2" i="31"/>
  <c r="H5" i="31"/>
  <c r="C45" i="30"/>
  <c r="C54" i="30"/>
  <c r="C55" i="30"/>
  <c r="C57" i="29"/>
  <c r="C42" i="29"/>
  <c r="C40" i="29"/>
  <c r="C46" i="29"/>
  <c r="C48" i="29"/>
  <c r="C41" i="31"/>
  <c r="C51" i="31"/>
  <c r="C62" i="30"/>
  <c r="H4" i="29"/>
  <c r="C56" i="29"/>
  <c r="C45" i="31"/>
  <c r="C59" i="31"/>
  <c r="C57" i="30"/>
  <c r="H8" i="29"/>
  <c r="C48" i="30"/>
  <c r="C39" i="29"/>
  <c r="C37" i="31"/>
  <c r="C44" i="31"/>
  <c r="C43" i="31"/>
  <c r="C49" i="30"/>
  <c r="C58" i="30"/>
  <c r="C59" i="30"/>
  <c r="C61" i="29"/>
  <c r="C52" i="31"/>
  <c r="C53" i="30"/>
  <c r="C50" i="29"/>
  <c r="H2" i="30"/>
  <c r="C60" i="31"/>
  <c r="H7" i="29"/>
  <c r="H3" i="30"/>
  <c r="C44" i="29"/>
  <c r="C49" i="31"/>
  <c r="H3" i="31"/>
  <c r="H6" i="31"/>
  <c r="C61" i="30"/>
  <c r="C44" i="30"/>
  <c r="C40" i="30"/>
  <c r="C43" i="29"/>
  <c r="C58" i="29"/>
  <c r="C57" i="31"/>
  <c r="C60" i="30"/>
  <c r="H7" i="30"/>
  <c r="H2" i="29"/>
  <c r="H5" i="29"/>
  <c r="C61" i="31"/>
  <c r="C37" i="29"/>
  <c r="C53" i="31"/>
  <c r="C38" i="31"/>
  <c r="C40" i="31"/>
  <c r="H4" i="30"/>
  <c r="C52" i="30"/>
  <c r="C56" i="30"/>
  <c r="C55" i="29"/>
  <c r="C62" i="29"/>
  <c r="C42" i="31"/>
  <c r="C48" i="31"/>
  <c r="H8" i="30"/>
  <c r="H4" i="31"/>
  <c r="C50" i="31"/>
  <c r="H7" i="31"/>
  <c r="C38" i="30"/>
  <c r="C39" i="30"/>
  <c r="C41" i="29"/>
  <c r="C52" i="29"/>
  <c r="C47" i="29"/>
  <c r="H3" i="29"/>
  <c r="C38" i="29"/>
  <c r="H6" i="29"/>
  <c r="H5" i="30"/>
  <c r="C46" i="31"/>
  <c r="H8" i="31"/>
  <c r="C54" i="31"/>
  <c r="C39" i="31"/>
  <c r="C42" i="30"/>
  <c r="C43" i="30"/>
  <c r="C45" i="29"/>
  <c r="C60" i="29"/>
  <c r="C51" i="29"/>
  <c r="C47" i="31"/>
  <c r="C58" i="31"/>
  <c r="C37" i="30"/>
  <c r="C46" i="30"/>
  <c r="C47" i="30"/>
  <c r="C49" i="29"/>
  <c r="C59" i="29"/>
  <c r="C62" i="31"/>
  <c r="C41" i="30"/>
  <c r="C51" i="30"/>
  <c r="C53" i="29"/>
  <c r="H6" i="30"/>
  <c r="C56" i="31"/>
  <c r="M9" i="3"/>
  <c r="M8" i="3"/>
  <c r="M7" i="3"/>
  <c r="M3" i="3"/>
  <c r="B6" i="3"/>
  <c r="M6" i="3"/>
  <c r="M5" i="3"/>
  <c r="M4" i="3"/>
  <c r="B366" i="3"/>
  <c r="B363" i="3"/>
  <c r="D359" i="3"/>
  <c r="C359" i="3"/>
  <c r="E359" i="3" l="1"/>
  <c r="G47" i="2"/>
  <c r="G48" i="2"/>
  <c r="G49" i="2"/>
  <c r="G50" i="2"/>
  <c r="G51" i="2"/>
  <c r="G52" i="2"/>
  <c r="G53" i="2"/>
  <c r="G54" i="2"/>
  <c r="G55" i="2"/>
  <c r="G56" i="2"/>
  <c r="G57" i="2"/>
  <c r="G58" i="2"/>
  <c r="G59" i="2"/>
  <c r="G60" i="2"/>
  <c r="G61" i="2"/>
  <c r="G62" i="2"/>
  <c r="G63" i="2"/>
  <c r="G64" i="2"/>
  <c r="G65" i="2"/>
  <c r="G66" i="2"/>
  <c r="G67" i="2"/>
  <c r="G68" i="2"/>
  <c r="G69" i="2"/>
  <c r="G70" i="2"/>
  <c r="G71" i="2"/>
  <c r="E46" i="2"/>
  <c r="F46" i="2"/>
  <c r="G46" i="2"/>
  <c r="H46" i="2"/>
  <c r="L46" i="2"/>
  <c r="O46" i="2"/>
  <c r="P46" i="2"/>
  <c r="R46" i="2"/>
  <c r="E47" i="2"/>
  <c r="F47" i="2"/>
  <c r="H47" i="2"/>
  <c r="K47" i="2"/>
  <c r="L47" i="2"/>
  <c r="O47" i="2"/>
  <c r="P47" i="2"/>
  <c r="Q47" i="2" s="1"/>
  <c r="R47" i="2"/>
  <c r="E48" i="2"/>
  <c r="F48" i="2"/>
  <c r="H48" i="2"/>
  <c r="K48" i="2"/>
  <c r="L48" i="2"/>
  <c r="O48" i="2"/>
  <c r="P48" i="2"/>
  <c r="Q48" i="2" s="1"/>
  <c r="R48" i="2"/>
  <c r="E49" i="2"/>
  <c r="F49" i="2"/>
  <c r="H49" i="2"/>
  <c r="K49" i="2"/>
  <c r="L49" i="2"/>
  <c r="O49" i="2"/>
  <c r="P49" i="2"/>
  <c r="Q49" i="2" s="1"/>
  <c r="R49" i="2"/>
  <c r="E50" i="2"/>
  <c r="F50" i="2"/>
  <c r="H50" i="2"/>
  <c r="K50" i="2"/>
  <c r="L50" i="2"/>
  <c r="O50" i="2"/>
  <c r="P50" i="2"/>
  <c r="Q50" i="2" s="1"/>
  <c r="R50" i="2"/>
  <c r="E51" i="2"/>
  <c r="F51" i="2"/>
  <c r="H51" i="2"/>
  <c r="K51" i="2"/>
  <c r="L51" i="2"/>
  <c r="O51" i="2"/>
  <c r="P51" i="2"/>
  <c r="Q51" i="2" s="1"/>
  <c r="R51" i="2"/>
  <c r="E52" i="2"/>
  <c r="F52" i="2"/>
  <c r="H52" i="2"/>
  <c r="K52" i="2"/>
  <c r="L52" i="2"/>
  <c r="O52" i="2"/>
  <c r="P52" i="2"/>
  <c r="Q52" i="2" s="1"/>
  <c r="R52" i="2"/>
  <c r="E53" i="2"/>
  <c r="F53" i="2"/>
  <c r="H53" i="2"/>
  <c r="K53" i="2"/>
  <c r="L53" i="2"/>
  <c r="O53" i="2"/>
  <c r="P53" i="2"/>
  <c r="Q53" i="2" s="1"/>
  <c r="R53" i="2"/>
  <c r="E54" i="2"/>
  <c r="F54" i="2"/>
  <c r="H54" i="2"/>
  <c r="K54" i="2"/>
  <c r="L54" i="2"/>
  <c r="O54" i="2"/>
  <c r="P54" i="2"/>
  <c r="Q54" i="2" s="1"/>
  <c r="R54" i="2"/>
  <c r="E55" i="2"/>
  <c r="F55" i="2"/>
  <c r="H55" i="2"/>
  <c r="K55" i="2"/>
  <c r="L55" i="2"/>
  <c r="O55" i="2"/>
  <c r="P55" i="2"/>
  <c r="Q55" i="2" s="1"/>
  <c r="R55" i="2"/>
  <c r="E56" i="2"/>
  <c r="F56" i="2"/>
  <c r="H56" i="2"/>
  <c r="K56" i="2"/>
  <c r="L56" i="2"/>
  <c r="O56" i="2"/>
  <c r="P56" i="2"/>
  <c r="Q56" i="2" s="1"/>
  <c r="R56" i="2"/>
  <c r="E57" i="2"/>
  <c r="F57" i="2"/>
  <c r="H57" i="2"/>
  <c r="K57" i="2"/>
  <c r="L57" i="2"/>
  <c r="O57" i="2"/>
  <c r="P57" i="2"/>
  <c r="Q57" i="2" s="1"/>
  <c r="R57" i="2"/>
  <c r="E58" i="2"/>
  <c r="F58" i="2"/>
  <c r="H58" i="2"/>
  <c r="K58" i="2"/>
  <c r="L58" i="2"/>
  <c r="O58" i="2"/>
  <c r="P58" i="2"/>
  <c r="Q58" i="2" s="1"/>
  <c r="R58" i="2"/>
  <c r="E59" i="2"/>
  <c r="F59" i="2"/>
  <c r="H59" i="2"/>
  <c r="K59" i="2"/>
  <c r="L59" i="2"/>
  <c r="O59" i="2"/>
  <c r="P59" i="2"/>
  <c r="Q59" i="2" s="1"/>
  <c r="R59" i="2"/>
  <c r="E60" i="2"/>
  <c r="F60" i="2"/>
  <c r="H60" i="2"/>
  <c r="K60" i="2"/>
  <c r="L60" i="2"/>
  <c r="O60" i="2"/>
  <c r="P60" i="2"/>
  <c r="Q60" i="2" s="1"/>
  <c r="R60" i="2"/>
  <c r="E61" i="2"/>
  <c r="F61" i="2"/>
  <c r="H61" i="2"/>
  <c r="K61" i="2"/>
  <c r="L61" i="2"/>
  <c r="O61" i="2"/>
  <c r="P61" i="2"/>
  <c r="Q61" i="2" s="1"/>
  <c r="R61" i="2"/>
  <c r="E62" i="2"/>
  <c r="F62" i="2"/>
  <c r="H62" i="2"/>
  <c r="K62" i="2"/>
  <c r="L62" i="2"/>
  <c r="O62" i="2"/>
  <c r="P62" i="2"/>
  <c r="Q62" i="2" s="1"/>
  <c r="R62" i="2"/>
  <c r="E63" i="2"/>
  <c r="F63" i="2"/>
  <c r="H63" i="2"/>
  <c r="K63" i="2"/>
  <c r="L63" i="2"/>
  <c r="O63" i="2"/>
  <c r="P63" i="2"/>
  <c r="Q63" i="2" s="1"/>
  <c r="R63" i="2"/>
  <c r="E64" i="2"/>
  <c r="F64" i="2"/>
  <c r="H64" i="2"/>
  <c r="K64" i="2"/>
  <c r="L64" i="2"/>
  <c r="O64" i="2"/>
  <c r="P64" i="2"/>
  <c r="Q64" i="2" s="1"/>
  <c r="R64" i="2"/>
  <c r="E65" i="2"/>
  <c r="F65" i="2"/>
  <c r="H65" i="2"/>
  <c r="K65" i="2"/>
  <c r="L65" i="2"/>
  <c r="O65" i="2"/>
  <c r="P65" i="2"/>
  <c r="Q65" i="2" s="1"/>
  <c r="R65" i="2"/>
  <c r="E66" i="2"/>
  <c r="F66" i="2"/>
  <c r="H66" i="2"/>
  <c r="K66" i="2"/>
  <c r="L66" i="2"/>
  <c r="O66" i="2"/>
  <c r="P66" i="2"/>
  <c r="Q66" i="2" s="1"/>
  <c r="R66" i="2"/>
  <c r="E67" i="2"/>
  <c r="F67" i="2"/>
  <c r="H67" i="2"/>
  <c r="K67" i="2"/>
  <c r="L67" i="2"/>
  <c r="O67" i="2"/>
  <c r="P67" i="2"/>
  <c r="Q67" i="2" s="1"/>
  <c r="R67" i="2"/>
  <c r="E68" i="2"/>
  <c r="F68" i="2"/>
  <c r="H68" i="2"/>
  <c r="K68" i="2"/>
  <c r="L68" i="2"/>
  <c r="O68" i="2"/>
  <c r="P68" i="2"/>
  <c r="Q68" i="2" s="1"/>
  <c r="R68" i="2"/>
  <c r="E69" i="2"/>
  <c r="F69" i="2"/>
  <c r="H69" i="2"/>
  <c r="K69" i="2"/>
  <c r="L69" i="2"/>
  <c r="O69" i="2"/>
  <c r="P69" i="2"/>
  <c r="Q69" i="2" s="1"/>
  <c r="R69" i="2"/>
  <c r="E70" i="2"/>
  <c r="F70" i="2"/>
  <c r="H70" i="2"/>
  <c r="K70" i="2"/>
  <c r="L70" i="2"/>
  <c r="O70" i="2"/>
  <c r="P70" i="2"/>
  <c r="Q70" i="2" s="1"/>
  <c r="R70" i="2"/>
  <c r="E71" i="2"/>
  <c r="F71" i="2"/>
  <c r="H71" i="2"/>
  <c r="K71" i="2"/>
  <c r="L71" i="2"/>
  <c r="O71" i="2"/>
  <c r="P71" i="2"/>
  <c r="Q71" i="2" s="1"/>
  <c r="R71" i="2"/>
  <c r="D60" i="31"/>
  <c r="D44" i="31"/>
  <c r="E58" i="31"/>
  <c r="E55" i="31"/>
  <c r="E53" i="31"/>
  <c r="D60" i="30"/>
  <c r="E43" i="30"/>
  <c r="D54" i="30"/>
  <c r="E38" i="30"/>
  <c r="E56" i="29"/>
  <c r="E41" i="29"/>
  <c r="D42" i="29"/>
  <c r="D46" i="29"/>
  <c r="D38" i="29"/>
  <c r="D47" i="31"/>
  <c r="E50" i="31"/>
  <c r="D45" i="31"/>
  <c r="E45" i="31"/>
  <c r="D44" i="30"/>
  <c r="E60" i="30"/>
  <c r="D46" i="30"/>
  <c r="E40" i="29"/>
  <c r="E47" i="29"/>
  <c r="E60" i="29"/>
  <c r="E38" i="29"/>
  <c r="E55" i="29"/>
  <c r="E42" i="31"/>
  <c r="E37" i="31"/>
  <c r="E58" i="30"/>
  <c r="D61" i="30"/>
  <c r="D51" i="29"/>
  <c r="E46" i="29"/>
  <c r="E44" i="29"/>
  <c r="D52" i="29"/>
  <c r="E49" i="31"/>
  <c r="D58" i="30"/>
  <c r="E43" i="29"/>
  <c r="E61" i="30"/>
  <c r="E57" i="31"/>
  <c r="E44" i="30"/>
  <c r="E60" i="31"/>
  <c r="E56" i="31"/>
  <c r="E53" i="30"/>
  <c r="D61" i="29"/>
  <c r="E40" i="31"/>
  <c r="D56" i="31"/>
  <c r="E50" i="30"/>
  <c r="D37" i="30"/>
  <c r="E45" i="30"/>
  <c r="D39" i="29"/>
  <c r="E52" i="29"/>
  <c r="D55" i="29"/>
  <c r="D45" i="29"/>
  <c r="D39" i="31"/>
  <c r="E41" i="31"/>
  <c r="E44" i="31"/>
  <c r="D51" i="31"/>
  <c r="D62" i="31"/>
  <c r="E42" i="30"/>
  <c r="D50" i="30"/>
  <c r="D40" i="30"/>
  <c r="E37" i="30"/>
  <c r="E58" i="29"/>
  <c r="D53" i="29"/>
  <c r="D57" i="29"/>
  <c r="E61" i="29"/>
  <c r="E47" i="31"/>
  <c r="D42" i="30"/>
  <c r="E55" i="30"/>
  <c r="D37" i="29"/>
  <c r="E53" i="29"/>
  <c r="D57" i="31"/>
  <c r="D61" i="31"/>
  <c r="D47" i="30"/>
  <c r="D41" i="29"/>
  <c r="D53" i="31"/>
  <c r="E49" i="30"/>
  <c r="D39" i="30"/>
  <c r="D60" i="29"/>
  <c r="E48" i="29"/>
  <c r="D42" i="31"/>
  <c r="D55" i="31"/>
  <c r="D51" i="30"/>
  <c r="E54" i="30"/>
  <c r="D53" i="30"/>
  <c r="E57" i="29"/>
  <c r="E43" i="31"/>
  <c r="D50" i="29"/>
  <c r="E48" i="31"/>
  <c r="E51" i="31"/>
  <c r="E62" i="31"/>
  <c r="D46" i="31"/>
  <c r="D48" i="30"/>
  <c r="D55" i="30"/>
  <c r="E50" i="29"/>
  <c r="D49" i="29"/>
  <c r="E52" i="31"/>
  <c r="E54" i="31"/>
  <c r="E57" i="30"/>
  <c r="E47" i="30"/>
  <c r="E42" i="29"/>
  <c r="E45" i="29"/>
  <c r="E40" i="30"/>
  <c r="D62" i="29"/>
  <c r="D43" i="30"/>
  <c r="D59" i="31"/>
  <c r="E48" i="30"/>
  <c r="D56" i="29"/>
  <c r="D43" i="31"/>
  <c r="D49" i="31"/>
  <c r="E46" i="31"/>
  <c r="D37" i="31"/>
  <c r="D57" i="30"/>
  <c r="E39" i="30"/>
  <c r="D40" i="29"/>
  <c r="E37" i="29"/>
  <c r="D38" i="31"/>
  <c r="E52" i="30"/>
  <c r="D54" i="29"/>
  <c r="E59" i="31"/>
  <c r="D58" i="31"/>
  <c r="E39" i="31"/>
  <c r="D41" i="31"/>
  <c r="E38" i="31"/>
  <c r="D56" i="30"/>
  <c r="E41" i="30"/>
  <c r="D49" i="30"/>
  <c r="D52" i="30"/>
  <c r="D62" i="30"/>
  <c r="D44" i="29"/>
  <c r="E51" i="29"/>
  <c r="D59" i="29"/>
  <c r="D48" i="29"/>
  <c r="D54" i="31"/>
  <c r="E62" i="29"/>
  <c r="E51" i="30"/>
  <c r="E46" i="30"/>
  <c r="D45" i="30"/>
  <c r="E49" i="29"/>
  <c r="E54" i="29"/>
  <c r="D50" i="31"/>
  <c r="D48" i="31"/>
  <c r="D40" i="31"/>
  <c r="D52" i="31"/>
  <c r="D59" i="30"/>
  <c r="E56" i="30"/>
  <c r="D41" i="30"/>
  <c r="E62" i="30"/>
  <c r="D38" i="30"/>
  <c r="D43" i="29"/>
  <c r="E39" i="29"/>
  <c r="D47" i="29"/>
  <c r="E59" i="29"/>
  <c r="E59" i="30"/>
  <c r="D58" i="29"/>
  <c r="E61" i="31"/>
  <c r="Q46" i="2" l="1"/>
  <c r="Q72" i="2" s="1"/>
  <c r="P72" i="2"/>
  <c r="E72" i="2"/>
  <c r="J2" i="22"/>
  <c r="G3" i="22" l="1"/>
  <c r="G4" i="22"/>
  <c r="I4" i="22" s="1" a="1"/>
  <c r="G5" i="22"/>
  <c r="G6" i="22"/>
  <c r="I6" i="22" s="1" a="1"/>
  <c r="G7" i="22"/>
  <c r="G8" i="22"/>
  <c r="G9" i="22"/>
  <c r="G10" i="22"/>
  <c r="I10" i="22" s="1" a="1"/>
  <c r="G11" i="22"/>
  <c r="G12" i="22"/>
  <c r="I12" i="22" s="1" a="1"/>
  <c r="G13" i="22"/>
  <c r="G14" i="22"/>
  <c r="I14" i="22" s="1" a="1"/>
  <c r="G15" i="22"/>
  <c r="I15" i="22" s="1" a="1"/>
  <c r="G16" i="22"/>
  <c r="I16" i="22" s="1" a="1"/>
  <c r="G17" i="22"/>
  <c r="I17" i="22" s="1" a="1"/>
  <c r="G18" i="22"/>
  <c r="I18" i="22" s="1" a="1"/>
  <c r="G19" i="22"/>
  <c r="G20" i="22"/>
  <c r="G21" i="22"/>
  <c r="G22" i="22"/>
  <c r="I22" i="22" s="1" a="1"/>
  <c r="G23" i="22"/>
  <c r="I23" i="22" s="1" a="1"/>
  <c r="G24" i="22"/>
  <c r="I24" i="22" s="1" a="1"/>
  <c r="G25" i="22"/>
  <c r="G26" i="22"/>
  <c r="I26" i="22" s="1" a="1"/>
  <c r="G27" i="22"/>
  <c r="I27" i="22" s="1" a="1"/>
  <c r="G28" i="22"/>
  <c r="G29" i="22"/>
  <c r="I29" i="22" s="1" a="1"/>
  <c r="G30" i="22"/>
  <c r="I30" i="22" s="1" a="1"/>
  <c r="G31" i="22"/>
  <c r="G32" i="22"/>
  <c r="G33" i="22"/>
  <c r="G34" i="22"/>
  <c r="I34" i="22" s="1" a="1"/>
  <c r="G35" i="22"/>
  <c r="G36" i="22"/>
  <c r="I36" i="22" s="1" a="1"/>
  <c r="G37" i="22"/>
  <c r="I37" i="22" s="1" a="1"/>
  <c r="G38" i="22"/>
  <c r="I38" i="22" s="1" a="1"/>
  <c r="G39" i="22"/>
  <c r="I39" i="22" s="1" a="1"/>
  <c r="G40" i="22"/>
  <c r="I40" i="22" s="1" a="1"/>
  <c r="G41" i="22"/>
  <c r="I41" i="22" s="1" a="1"/>
  <c r="G42" i="22"/>
  <c r="I42" i="22" s="1" a="1"/>
  <c r="G43" i="22"/>
  <c r="G44" i="22"/>
  <c r="G45" i="22"/>
  <c r="I45" i="22" s="1" a="1"/>
  <c r="G46" i="22"/>
  <c r="I46" i="22" s="1" a="1"/>
  <c r="G47" i="22"/>
  <c r="G48" i="22"/>
  <c r="I48" i="22" s="1" a="1"/>
  <c r="G49" i="22"/>
  <c r="G50" i="22"/>
  <c r="I50" i="22" s="1" a="1"/>
  <c r="G51" i="22"/>
  <c r="I51" i="22" s="1" a="1"/>
  <c r="G52" i="22"/>
  <c r="G2" i="22"/>
  <c r="I2" i="22" s="1" a="1"/>
  <c r="F3" i="22"/>
  <c r="H3" i="22" s="1" a="1"/>
  <c r="F4" i="22"/>
  <c r="F5" i="22"/>
  <c r="F6" i="22"/>
  <c r="F7" i="22"/>
  <c r="H7" i="22" s="1" a="1"/>
  <c r="F8" i="22"/>
  <c r="H8" i="22" s="1" a="1"/>
  <c r="F9" i="22"/>
  <c r="H9" i="22" s="1" a="1"/>
  <c r="F10" i="22"/>
  <c r="F11" i="22"/>
  <c r="H11" i="22" s="1" a="1"/>
  <c r="F12" i="22"/>
  <c r="H12" i="22" s="1" a="1"/>
  <c r="F13" i="22"/>
  <c r="H13" i="22" s="1" a="1"/>
  <c r="F14" i="22"/>
  <c r="H14" i="22" s="1" a="1"/>
  <c r="F15" i="22"/>
  <c r="H15" i="22" s="1" a="1"/>
  <c r="F16" i="22"/>
  <c r="F17" i="22"/>
  <c r="F18" i="22"/>
  <c r="H18" i="22" s="1" a="1"/>
  <c r="F19" i="22"/>
  <c r="H19" i="22" s="1" a="1"/>
  <c r="F20" i="22"/>
  <c r="H20" i="22" s="1" a="1"/>
  <c r="F21" i="22"/>
  <c r="H21" i="22" s="1" a="1"/>
  <c r="F22" i="22"/>
  <c r="F23" i="22"/>
  <c r="H23" i="22" s="1" a="1"/>
  <c r="F24" i="22"/>
  <c r="H24" i="22" s="1" a="1"/>
  <c r="F25" i="22"/>
  <c r="H25" i="22" s="1" a="1"/>
  <c r="F26" i="22"/>
  <c r="H26" i="22" s="1" a="1"/>
  <c r="F27" i="22"/>
  <c r="H27" i="22" s="1" a="1"/>
  <c r="F28" i="22"/>
  <c r="F29" i="22"/>
  <c r="F30" i="22"/>
  <c r="F31" i="22"/>
  <c r="H31" i="22" s="1" a="1"/>
  <c r="F32" i="22"/>
  <c r="H32" i="22" s="1" a="1"/>
  <c r="F33" i="22"/>
  <c r="H33" i="22" s="1" a="1"/>
  <c r="F34" i="22"/>
  <c r="F35" i="22"/>
  <c r="H35" i="22" s="1" a="1"/>
  <c r="F36" i="22"/>
  <c r="H36" i="22" s="1" a="1"/>
  <c r="F37" i="22"/>
  <c r="F38" i="22"/>
  <c r="H38" i="22" s="1" a="1"/>
  <c r="F39" i="22"/>
  <c r="H39" i="22" s="1" a="1"/>
  <c r="F40" i="22"/>
  <c r="F41" i="22"/>
  <c r="F42" i="22"/>
  <c r="F43" i="22"/>
  <c r="H43" i="22" s="1" a="1"/>
  <c r="F44" i="22"/>
  <c r="H44" i="22" s="1" a="1"/>
  <c r="F45" i="22"/>
  <c r="H45" i="22" s="1" a="1"/>
  <c r="F46" i="22"/>
  <c r="F47" i="22"/>
  <c r="H47" i="22" s="1" a="1"/>
  <c r="F48" i="22"/>
  <c r="H48" i="22" s="1" a="1"/>
  <c r="F49" i="22"/>
  <c r="H49" i="22" s="1" a="1"/>
  <c r="F50" i="22"/>
  <c r="H50" i="22" s="1" a="1"/>
  <c r="F51" i="22"/>
  <c r="H51" i="22" s="1" a="1"/>
  <c r="F52" i="22"/>
  <c r="F2" i="22"/>
  <c r="I3" i="22" a="1"/>
  <c r="I7" i="22" a="1"/>
  <c r="I11" i="22" a="1"/>
  <c r="I19" i="22" a="1"/>
  <c r="I31" i="22" a="1"/>
  <c r="I35" i="22" a="1"/>
  <c r="I43" i="22" a="1"/>
  <c r="I47" i="22" a="1"/>
  <c r="H4" i="22" a="1"/>
  <c r="H16" i="22" a="1"/>
  <c r="H28" i="22" a="1"/>
  <c r="H40" i="22" a="1"/>
  <c r="H52" i="22" a="1"/>
  <c r="H34" i="22" a="1"/>
  <c r="I8" i="22" a="1"/>
  <c r="I20" i="22" a="1"/>
  <c r="I28" i="22" a="1"/>
  <c r="I32" i="22" a="1"/>
  <c r="I44" i="22" a="1"/>
  <c r="I52" i="22" a="1"/>
  <c r="H5" i="22" a="1"/>
  <c r="H17" i="22" a="1"/>
  <c r="H29" i="22" a="1"/>
  <c r="H37" i="22" a="1"/>
  <c r="H41" i="22" a="1"/>
  <c r="H2" i="22" a="1"/>
  <c r="H42" i="22" a="1"/>
  <c r="I5" i="22" a="1"/>
  <c r="I9" i="22" a="1"/>
  <c r="I13" i="22" a="1"/>
  <c r="I21" i="22" a="1"/>
  <c r="I25" i="22" a="1"/>
  <c r="I33" i="22" a="1"/>
  <c r="I49" i="22" a="1"/>
  <c r="H6" i="22" a="1"/>
  <c r="H10" i="22" a="1"/>
  <c r="H22" i="22" a="1"/>
  <c r="H30" i="22" a="1"/>
  <c r="H46" i="22" a="1"/>
  <c r="H46" i="22" l="1"/>
  <c r="H30" i="22"/>
  <c r="H26" i="22"/>
  <c r="H22" i="22"/>
  <c r="H18" i="22"/>
  <c r="H14" i="22"/>
  <c r="H10" i="22"/>
  <c r="H6" i="22"/>
  <c r="I2" i="22"/>
  <c r="I49" i="22"/>
  <c r="I45" i="22"/>
  <c r="I41" i="22"/>
  <c r="I37" i="22"/>
  <c r="I33" i="22"/>
  <c r="I29" i="22"/>
  <c r="I25" i="22"/>
  <c r="I21" i="22"/>
  <c r="I17" i="22"/>
  <c r="I13" i="22"/>
  <c r="I9" i="22"/>
  <c r="I5" i="22"/>
  <c r="H51" i="22"/>
  <c r="H42" i="22"/>
  <c r="H38" i="22"/>
  <c r="H2" i="22"/>
  <c r="H49" i="22"/>
  <c r="H45" i="22"/>
  <c r="H41" i="22"/>
  <c r="H37" i="22"/>
  <c r="H33" i="22"/>
  <c r="H29" i="22"/>
  <c r="H25" i="22"/>
  <c r="H21" i="22"/>
  <c r="H17" i="22"/>
  <c r="H13" i="22"/>
  <c r="H9" i="22"/>
  <c r="H5" i="22"/>
  <c r="I52" i="22"/>
  <c r="I48" i="22"/>
  <c r="I44" i="22"/>
  <c r="I40" i="22"/>
  <c r="I36" i="22"/>
  <c r="I32" i="22"/>
  <c r="I28" i="22"/>
  <c r="I24" i="22"/>
  <c r="I20" i="22"/>
  <c r="I16" i="22"/>
  <c r="I12" i="22"/>
  <c r="I8" i="22"/>
  <c r="I4" i="22"/>
  <c r="H50" i="22"/>
  <c r="H34" i="22"/>
  <c r="H52" i="22"/>
  <c r="H48" i="22"/>
  <c r="H44" i="22"/>
  <c r="H40" i="22"/>
  <c r="H36" i="22"/>
  <c r="H32" i="22"/>
  <c r="H28" i="22"/>
  <c r="H24" i="22"/>
  <c r="H20" i="22"/>
  <c r="H16" i="22"/>
  <c r="H12" i="22"/>
  <c r="H8" i="22"/>
  <c r="H4" i="22"/>
  <c r="I51" i="22"/>
  <c r="I47" i="22"/>
  <c r="I43" i="22"/>
  <c r="I39" i="22"/>
  <c r="I35" i="22"/>
  <c r="I31" i="22"/>
  <c r="I27" i="22"/>
  <c r="I23" i="22"/>
  <c r="I19" i="22"/>
  <c r="I15" i="22"/>
  <c r="I11" i="22"/>
  <c r="I7" i="22"/>
  <c r="I3" i="22"/>
  <c r="H47" i="22"/>
  <c r="H43" i="22"/>
  <c r="H39" i="22"/>
  <c r="H35" i="22"/>
  <c r="H31" i="22"/>
  <c r="H27" i="22"/>
  <c r="H23" i="22"/>
  <c r="H19" i="22"/>
  <c r="H15" i="22"/>
  <c r="H11" i="22"/>
  <c r="H7" i="22"/>
  <c r="H3" i="22"/>
  <c r="I50" i="22"/>
  <c r="I46" i="22"/>
  <c r="I42" i="22"/>
  <c r="I38" i="22"/>
  <c r="I34" i="22"/>
  <c r="I30" i="22"/>
  <c r="I26" i="22"/>
  <c r="I22" i="22"/>
  <c r="I18" i="22"/>
  <c r="I14" i="22"/>
  <c r="I10" i="22"/>
  <c r="I6" i="22"/>
  <c r="C296" i="3"/>
  <c r="C297" i="3"/>
  <c r="D297" i="3"/>
  <c r="C298" i="3"/>
  <c r="D298" i="3"/>
  <c r="C299" i="3"/>
  <c r="D299" i="3"/>
  <c r="C300" i="3"/>
  <c r="D300" i="3"/>
  <c r="D296" i="3"/>
  <c r="D257" i="3"/>
  <c r="C258" i="3"/>
  <c r="D258" i="3"/>
  <c r="C259" i="3"/>
  <c r="D259" i="3"/>
  <c r="C260" i="3"/>
  <c r="D260" i="3"/>
  <c r="C261" i="3"/>
  <c r="D261" i="3"/>
  <c r="C262" i="3"/>
  <c r="D262" i="3"/>
  <c r="C263" i="3"/>
  <c r="D263" i="3"/>
  <c r="C264" i="3"/>
  <c r="D264" i="3"/>
  <c r="C265" i="3"/>
  <c r="D265" i="3"/>
  <c r="C266" i="3"/>
  <c r="D266" i="3"/>
  <c r="C267" i="3"/>
  <c r="D267" i="3"/>
  <c r="C268" i="3"/>
  <c r="D268" i="3"/>
  <c r="C269" i="3"/>
  <c r="D269" i="3"/>
  <c r="C270" i="3"/>
  <c r="D270" i="3"/>
  <c r="C271" i="3"/>
  <c r="D271" i="3"/>
  <c r="C272" i="3"/>
  <c r="D272" i="3"/>
  <c r="C273" i="3"/>
  <c r="D273" i="3"/>
  <c r="C274" i="3"/>
  <c r="D274" i="3"/>
  <c r="C275" i="3"/>
  <c r="D275" i="3"/>
  <c r="C276" i="3"/>
  <c r="D276" i="3"/>
  <c r="C277" i="3"/>
  <c r="D277" i="3"/>
  <c r="C278" i="3"/>
  <c r="D278" i="3"/>
  <c r="C279" i="3"/>
  <c r="D279" i="3"/>
  <c r="C280" i="3"/>
  <c r="D280" i="3"/>
  <c r="C281" i="3"/>
  <c r="D281" i="3"/>
  <c r="C282" i="3"/>
  <c r="D282" i="3"/>
  <c r="C283" i="3"/>
  <c r="D283" i="3"/>
  <c r="C284" i="3"/>
  <c r="D284" i="3"/>
  <c r="C285" i="3"/>
  <c r="D285" i="3"/>
  <c r="C286" i="3"/>
  <c r="D286" i="3"/>
  <c r="C287" i="3"/>
  <c r="D287" i="3"/>
  <c r="C288" i="3"/>
  <c r="D288" i="3"/>
  <c r="C289" i="3"/>
  <c r="D289" i="3"/>
  <c r="C290" i="3"/>
  <c r="D290" i="3"/>
  <c r="C291" i="3"/>
  <c r="D291" i="3"/>
  <c r="C257" i="3"/>
  <c r="D252" i="3"/>
  <c r="D251" i="3"/>
  <c r="D250" i="3"/>
  <c r="D249" i="3"/>
  <c r="D248" i="3"/>
  <c r="D247" i="3"/>
  <c r="D246" i="3"/>
  <c r="D245" i="3"/>
  <c r="D216" i="3"/>
  <c r="D214" i="3"/>
  <c r="D215" i="3"/>
  <c r="D217" i="3"/>
  <c r="D218" i="3"/>
  <c r="D219" i="3"/>
  <c r="D220" i="3"/>
  <c r="D221" i="3"/>
  <c r="D222" i="3"/>
  <c r="D223" i="3"/>
  <c r="D224" i="3"/>
  <c r="D225" i="3"/>
  <c r="D226" i="3"/>
  <c r="D227" i="3"/>
  <c r="D228" i="3"/>
  <c r="D229" i="3"/>
  <c r="D230" i="3"/>
  <c r="D231" i="3"/>
  <c r="D232" i="3"/>
  <c r="D233" i="3"/>
  <c r="D234" i="3"/>
  <c r="D235" i="3"/>
  <c r="D236" i="3"/>
  <c r="D237" i="3"/>
  <c r="D238" i="3"/>
  <c r="D239" i="3"/>
  <c r="D240" i="3"/>
  <c r="D241" i="3"/>
  <c r="D207" i="3"/>
  <c r="D208" i="3"/>
  <c r="D209" i="3"/>
  <c r="D210" i="3"/>
  <c r="D211" i="3"/>
  <c r="D212" i="3"/>
  <c r="D213" i="3"/>
  <c r="D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06" i="3"/>
  <c r="D197" i="3" l="1"/>
  <c r="D198" i="3"/>
  <c r="D199" i="3"/>
  <c r="D200" i="3"/>
  <c r="D201" i="3"/>
  <c r="D202" i="3"/>
  <c r="C197" i="3"/>
  <c r="F197" i="3" s="1"/>
  <c r="C198" i="3"/>
  <c r="F198" i="3" s="1"/>
  <c r="C199" i="3"/>
  <c r="F199" i="3" s="1"/>
  <c r="C200" i="3"/>
  <c r="F200" i="3" s="1"/>
  <c r="C201" i="3"/>
  <c r="F201" i="3" s="1"/>
  <c r="C202" i="3"/>
  <c r="D196" i="3"/>
  <c r="C196" i="3"/>
  <c r="F196" i="3" s="1"/>
  <c r="D195" i="3"/>
  <c r="C195" i="3"/>
  <c r="F195" i="3" s="1"/>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56" i="3"/>
  <c r="D163" i="3"/>
  <c r="D162" i="3"/>
  <c r="D161" i="3"/>
  <c r="D160" i="3"/>
  <c r="D159" i="3"/>
  <c r="D158" i="3"/>
  <c r="D157" i="3"/>
  <c r="D156" i="3"/>
  <c r="D148" i="3"/>
  <c r="D151" i="3"/>
  <c r="D147" i="3"/>
  <c r="D149" i="3"/>
  <c r="D150" i="3"/>
  <c r="D152" i="3"/>
  <c r="C147" i="3"/>
  <c r="C148" i="3"/>
  <c r="C149" i="3"/>
  <c r="C150" i="3"/>
  <c r="C151" i="3"/>
  <c r="C152" i="3"/>
  <c r="C129" i="3"/>
  <c r="C130" i="3"/>
  <c r="C131" i="3"/>
  <c r="C132" i="3"/>
  <c r="C133" i="3"/>
  <c r="C134" i="3"/>
  <c r="C128" i="3"/>
  <c r="F4" i="3"/>
  <c r="C146" i="3"/>
  <c r="D146" i="3"/>
  <c r="D145" i="3"/>
  <c r="C145" i="3"/>
  <c r="C140" i="3"/>
  <c r="D140" i="3"/>
  <c r="D139" i="3"/>
  <c r="C139" i="3"/>
  <c r="D129" i="3"/>
  <c r="D130" i="3"/>
  <c r="D131" i="3"/>
  <c r="D132" i="3"/>
  <c r="D133" i="3"/>
  <c r="D134" i="3"/>
  <c r="D135" i="3"/>
  <c r="D128" i="3"/>
  <c r="C118" i="3"/>
  <c r="D118" i="3"/>
  <c r="C119" i="3"/>
  <c r="D119" i="3"/>
  <c r="C120" i="3"/>
  <c r="D120" i="3"/>
  <c r="C121" i="3"/>
  <c r="D121" i="3"/>
  <c r="C122" i="3"/>
  <c r="D122" i="3"/>
  <c r="C123" i="3"/>
  <c r="D123" i="3"/>
  <c r="C124" i="3"/>
  <c r="D124" i="3"/>
  <c r="D117" i="3"/>
  <c r="C117" i="3"/>
  <c r="C110" i="3"/>
  <c r="C73" i="3"/>
  <c r="D70" i="3"/>
  <c r="C63" i="3"/>
  <c r="D63" i="3"/>
  <c r="C64" i="3"/>
  <c r="D64" i="3"/>
  <c r="C65" i="3"/>
  <c r="D65" i="3"/>
  <c r="C66" i="3"/>
  <c r="D66" i="3"/>
  <c r="C67" i="3"/>
  <c r="D67" i="3"/>
  <c r="C68" i="3"/>
  <c r="D68" i="3"/>
  <c r="C69" i="3"/>
  <c r="D69" i="3"/>
  <c r="C70" i="3"/>
  <c r="C71" i="3"/>
  <c r="D71" i="3"/>
  <c r="C72" i="3"/>
  <c r="D72" i="3"/>
  <c r="D73" i="3"/>
  <c r="C74" i="3"/>
  <c r="D74" i="3"/>
  <c r="C75" i="3"/>
  <c r="D75" i="3"/>
  <c r="C76" i="3"/>
  <c r="D76" i="3"/>
  <c r="C77" i="3"/>
  <c r="D77" i="3"/>
  <c r="C78" i="3"/>
  <c r="D78" i="3"/>
  <c r="C79" i="3"/>
  <c r="D79" i="3"/>
  <c r="C80" i="3"/>
  <c r="D80" i="3"/>
  <c r="C81" i="3"/>
  <c r="D81" i="3"/>
  <c r="C82" i="3"/>
  <c r="D82" i="3"/>
  <c r="C83" i="3"/>
  <c r="D83" i="3"/>
  <c r="C84" i="3"/>
  <c r="D84" i="3"/>
  <c r="C85" i="3"/>
  <c r="D85" i="3"/>
  <c r="C86" i="3"/>
  <c r="D86" i="3"/>
  <c r="C87" i="3"/>
  <c r="D87" i="3"/>
  <c r="C88" i="3"/>
  <c r="D88" i="3"/>
  <c r="C89" i="3"/>
  <c r="D89" i="3"/>
  <c r="C90" i="3"/>
  <c r="D90" i="3"/>
  <c r="C91" i="3"/>
  <c r="D91" i="3"/>
  <c r="C92" i="3"/>
  <c r="D92" i="3"/>
  <c r="C93" i="3"/>
  <c r="D93" i="3"/>
  <c r="C94" i="3"/>
  <c r="D94" i="3"/>
  <c r="C95" i="3"/>
  <c r="D95" i="3"/>
  <c r="C96" i="3"/>
  <c r="D96" i="3"/>
  <c r="C97" i="3"/>
  <c r="D97" i="3"/>
  <c r="C98" i="3"/>
  <c r="D98" i="3"/>
  <c r="C99" i="3"/>
  <c r="D99" i="3"/>
  <c r="C100" i="3"/>
  <c r="D100" i="3"/>
  <c r="C101" i="3"/>
  <c r="D101" i="3"/>
  <c r="C102" i="3"/>
  <c r="D102" i="3"/>
  <c r="C103" i="3"/>
  <c r="D103" i="3"/>
  <c r="C104" i="3"/>
  <c r="D104" i="3"/>
  <c r="C105" i="3"/>
  <c r="D105" i="3"/>
  <c r="C106" i="3"/>
  <c r="D106" i="3"/>
  <c r="C107" i="3"/>
  <c r="D107" i="3"/>
  <c r="C108" i="3"/>
  <c r="D108" i="3"/>
  <c r="C109" i="3"/>
  <c r="D109" i="3"/>
  <c r="D110" i="3"/>
  <c r="C111" i="3"/>
  <c r="D111" i="3"/>
  <c r="C112" i="3"/>
  <c r="D112" i="3"/>
  <c r="C113" i="3"/>
  <c r="D113" i="3"/>
  <c r="D62" i="3"/>
  <c r="C62" i="3"/>
  <c r="D16" i="3"/>
  <c r="D10" i="3"/>
  <c r="D11" i="3"/>
  <c r="D12" i="3"/>
  <c r="D13" i="3"/>
  <c r="D14" i="3"/>
  <c r="D15"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D9" i="3"/>
  <c r="B3" i="3"/>
  <c r="G198" i="3" l="1"/>
  <c r="G196" i="3"/>
  <c r="G201" i="3"/>
  <c r="G200" i="3"/>
  <c r="G195" i="3"/>
  <c r="G199" i="3"/>
  <c r="G197" i="3"/>
</calcChain>
</file>

<file path=xl/sharedStrings.xml><?xml version="1.0" encoding="utf-8"?>
<sst xmlns="http://schemas.openxmlformats.org/spreadsheetml/2006/main" count="564" uniqueCount="168">
  <si>
    <t>Retail Price (USD)</t>
  </si>
  <si>
    <t>Order Quantity</t>
  </si>
  <si>
    <t>Tax (USD)</t>
  </si>
  <si>
    <t>Total (USD)</t>
  </si>
  <si>
    <t>Mean</t>
  </si>
  <si>
    <t>Standard Error</t>
  </si>
  <si>
    <t>Median</t>
  </si>
  <si>
    <t>Mode</t>
  </si>
  <si>
    <t>Standard Deviation</t>
  </si>
  <si>
    <t>Sample Variance</t>
  </si>
  <si>
    <t>Kurtosis</t>
  </si>
  <si>
    <t>Skewness</t>
  </si>
  <si>
    <t>Range</t>
  </si>
  <si>
    <t>Minimum</t>
  </si>
  <si>
    <t>Maximum</t>
  </si>
  <si>
    <t>Sum</t>
  </si>
  <si>
    <t>Count</t>
  </si>
  <si>
    <t>Retail_Price(USD)</t>
  </si>
  <si>
    <t>Order_Quantity</t>
  </si>
  <si>
    <t>Tax_(USD)</t>
  </si>
  <si>
    <t>Total_(USD)</t>
  </si>
  <si>
    <t>SUMMARY OUTPUT</t>
  </si>
  <si>
    <t>Regression Statistics</t>
  </si>
  <si>
    <t>Multiple R</t>
  </si>
  <si>
    <t>R Square</t>
  </si>
  <si>
    <t>Adjusted R Square</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</si>
  <si>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</si>
  <si>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</si>
  <si>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</si>
  <si>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</si>
  <si>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</si>
  <si>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</si>
  <si>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</si>
  <si>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</si>
  <si>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</si>
  <si>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</si>
  <si>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</si>
  <si>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</si>
  <si>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</si>
  <si>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</si>
  <si>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</si>
  <si>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</si>
  <si>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</si>
  <si>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</si>
  <si>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Order No</t>
  </si>
  <si>
    <t>Order Date</t>
  </si>
  <si>
    <t>Customer Name</t>
  </si>
  <si>
    <t>Ship Date</t>
  </si>
  <si>
    <t>Shipping Delay</t>
  </si>
  <si>
    <t>YEAR</t>
  </si>
  <si>
    <t>MONTH</t>
  </si>
  <si>
    <t>DAY</t>
  </si>
  <si>
    <t>Unit Price</t>
  </si>
  <si>
    <t>Net Revenue</t>
  </si>
  <si>
    <t>Tax Rate(%)</t>
  </si>
  <si>
    <t>Net Revenue2</t>
  </si>
  <si>
    <t>Gross tax</t>
  </si>
  <si>
    <t>Repeat Order Rate</t>
  </si>
  <si>
    <t>Average Selling Price (ASP)</t>
  </si>
  <si>
    <t>Tax Rate</t>
  </si>
  <si>
    <t>Units per Transaction</t>
  </si>
  <si>
    <t>John Smith</t>
  </si>
  <si>
    <t>Jane Doe</t>
  </si>
  <si>
    <t>Michael Johnson</t>
  </si>
  <si>
    <t>Emily Brown</t>
  </si>
  <si>
    <t>David Wilson</t>
  </si>
  <si>
    <t>Lisa Taylor</t>
  </si>
  <si>
    <t>Daniel Martinez</t>
  </si>
  <si>
    <t>Sarah Anderson</t>
  </si>
  <si>
    <t>Christopher Thomas</t>
  </si>
  <si>
    <t>Kimberly Garcia</t>
  </si>
  <si>
    <t>William Hernandez</t>
  </si>
  <si>
    <t>Melissa Lopez</t>
  </si>
  <si>
    <t>Richard Perez</t>
  </si>
  <si>
    <t>Jessica Gonzalez</t>
  </si>
  <si>
    <t>Matthew Wilson</t>
  </si>
  <si>
    <t>Amanda Martinez</t>
  </si>
  <si>
    <t>James Johnson</t>
  </si>
  <si>
    <t>Laura Brown</t>
  </si>
  <si>
    <t>Daniel Smith</t>
  </si>
  <si>
    <t>Jennifer Davis</t>
  </si>
  <si>
    <t>Michael Garcia</t>
  </si>
  <si>
    <t>Amy Hernandez</t>
  </si>
  <si>
    <t>Christopher Rodriguez</t>
  </si>
  <si>
    <t>Jessica Martinez</t>
  </si>
  <si>
    <t>Sarah Smith</t>
  </si>
  <si>
    <t>Matthew Johnson</t>
  </si>
  <si>
    <t>Emily Davis</t>
  </si>
  <si>
    <t>Daniel Wilson</t>
  </si>
  <si>
    <t>Jennifer Martinez</t>
  </si>
  <si>
    <t>Michael Smith</t>
  </si>
  <si>
    <t>Jessica Johnson</t>
  </si>
  <si>
    <t>David Brown</t>
  </si>
  <si>
    <t>Sarah Garcia</t>
  </si>
  <si>
    <t>Matthew Hernandez</t>
  </si>
  <si>
    <t>Emily Rodriguez</t>
  </si>
  <si>
    <t>Daniel Davis</t>
  </si>
  <si>
    <t>Jennifer Smith</t>
  </si>
  <si>
    <t>Sarah Johnson</t>
  </si>
  <si>
    <t>Matthew Garcia</t>
  </si>
  <si>
    <t>Daniel Hernandez</t>
  </si>
  <si>
    <t>Michael Martinez</t>
  </si>
  <si>
    <t>Jessica Wilson</t>
  </si>
  <si>
    <t>David Rodriguez</t>
  </si>
  <si>
    <t>Sarah Gonzalez</t>
  </si>
  <si>
    <t>Matthew Smith</t>
  </si>
  <si>
    <t>Emily Johnson</t>
  </si>
  <si>
    <t>Daniel Brown</t>
  </si>
  <si>
    <t>Jennifer Hernandez</t>
  </si>
  <si>
    <t>Michael Davis</t>
  </si>
  <si>
    <t>Jessica Smith</t>
  </si>
  <si>
    <t>David Martinez</t>
  </si>
  <si>
    <t>Sum of Total (USD)</t>
  </si>
  <si>
    <t>Count of Order No</t>
  </si>
  <si>
    <t>2024</t>
  </si>
  <si>
    <t>Sunday</t>
  </si>
  <si>
    <t>Monday</t>
  </si>
  <si>
    <t>Sum of Order Quantity</t>
  </si>
  <si>
    <t>Tuesday</t>
  </si>
  <si>
    <t>Wednesday</t>
  </si>
  <si>
    <t>Thursday</t>
  </si>
  <si>
    <t xml:space="preserve">Customer </t>
  </si>
  <si>
    <t>Revenue</t>
  </si>
  <si>
    <t>Friday</t>
  </si>
  <si>
    <t>Saturday</t>
  </si>
  <si>
    <t>2024 Total</t>
  </si>
  <si>
    <t>Grand Total</t>
  </si>
  <si>
    <t>NONTH</t>
  </si>
  <si>
    <t>January</t>
  </si>
  <si>
    <t>February</t>
  </si>
  <si>
    <t>Sum of Units per Transaction</t>
  </si>
  <si>
    <t>Row Labels</t>
  </si>
  <si>
    <t>REVENUE</t>
  </si>
  <si>
    <t>Average of Order Quantity</t>
  </si>
  <si>
    <t>day</t>
  </si>
  <si>
    <t xml:space="preserve">avg quantity </t>
  </si>
  <si>
    <t xml:space="preserve">day </t>
  </si>
  <si>
    <t>orders</t>
  </si>
  <si>
    <t>Sum of Retail Price (USD)</t>
  </si>
  <si>
    <t>Monetary</t>
  </si>
  <si>
    <t>Frequency</t>
  </si>
  <si>
    <t>Last  Shipping  Date</t>
  </si>
  <si>
    <t>Last Order Date</t>
  </si>
  <si>
    <t>Average of Retail Price (USD)</t>
  </si>
  <si>
    <t>StdDev of Retail Price (USD)</t>
  </si>
  <si>
    <t>Recency (Order date)</t>
  </si>
  <si>
    <t>Recency (Ship date)</t>
  </si>
  <si>
    <t>Recency Score(O_ Date)</t>
  </si>
  <si>
    <t>Recency Score(S_Date)</t>
  </si>
  <si>
    <t>Reference date</t>
  </si>
  <si>
    <t>Forecast(Total_(USD))</t>
  </si>
  <si>
    <t>Lower Confidence Bound(Total_(USD))</t>
  </si>
  <si>
    <t>Upper Confidence Bound(Total_(USD))</t>
  </si>
  <si>
    <t>Statistic</t>
  </si>
  <si>
    <t>Value</t>
  </si>
  <si>
    <t>Alpha</t>
  </si>
  <si>
    <t>Beta</t>
  </si>
  <si>
    <t>Gamma</t>
  </si>
  <si>
    <t>MASE</t>
  </si>
  <si>
    <t>SMAPE</t>
  </si>
  <si>
    <t>MAE</t>
  </si>
  <si>
    <t>RMSE</t>
  </si>
  <si>
    <t>Forecast(Retail_Price(USD))</t>
  </si>
  <si>
    <t>Lower Confidence Bound(Retail_Price(USD))</t>
  </si>
  <si>
    <t>Upper Confidence Bound(Retail_Price(USD))</t>
  </si>
  <si>
    <t>Forecast(Order_Quantity)</t>
  </si>
  <si>
    <t>Lower Confidence Bound(Order_Quantity)</t>
  </si>
  <si>
    <t>Upper Confidence Bound(Order_Quantity)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</si>
</sst>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color theme="1"/>
      <name val="Aptos Narrow"/>
      <family val="2"/>
      <scheme val="minor"/>
    </font>
    <font>
      <b/>
      <sz val="12"/>
      <color rgb="FFFFFFFF"/>
      <name val="Calibri"/>
      <family val="2"/>
    </font>
    <font>
      <sz val="11"/>
      <color theme="1"/>
      <name val="Calibri"/>
      <family val="2"/>
    </font>
    <font>
      <i/>
      <sz val="11"/>
      <color theme="1"/>
      <name val="Aptos Narrow"/>
      <family val="2"/>
      <scheme val="minor"/>
    </font>
    <font>
      <sz val="8"/>
      <name val="Aptos Narrow"/>
      <family val="2"/>
      <scheme val="minor"/>
    </font>
    <font>
      <sz val="11"/>
      <color rgb="FF000000"/>
      <name val="Arial"/>
      <family val="2"/>
    </font>
    <font>
      <b/>
      <sz val="11"/>
      <color theme="1"/>
      <name val="Aptos Narrow"/>
      <family val="2"/>
      <scheme val="minor"/>
    </font>
    <font>
      <b/>
      <sz val="11"/>
      <color theme="1"/>
      <name val="Calibri"/>
      <family val="2"/>
    </font>
  </fonts>
  <fills count="7">
    <fill>
      <patternFill patternType="none"/>
    </fill>
    <fill>
      <patternFill patternType="gray125"/>
    </fill>
    <fill>
      <patternFill patternType="solid">
        <fgColor rgb="FF272760"/>
        <bgColor indexed="64"/>
      </patternFill>
    </fill>
    <fill>
      <patternFill patternType="solid">
        <fgColor theme="1" tint="0.499984740745262"/>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7" tint="0.79998168889431442"/>
        <bgColor theme="7" tint="0.79998168889431442"/>
      </patternFill>
    </fill>
  </fills>
  <borders count="26">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right/>
      <top/>
      <bottom style="thin">
        <color rgb="FFD9D9D9"/>
      </bottom>
      <diagonal/>
    </border>
    <border>
      <left/>
      <right style="thin">
        <color rgb="FFD9D9D9"/>
      </right>
      <top/>
      <bottom/>
      <diagonal/>
    </border>
    <border>
      <left/>
      <right/>
      <top/>
      <bottom style="medium">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style="thin">
        <color indexed="64"/>
      </left>
      <right/>
      <top/>
      <bottom style="medium">
        <color indexed="64"/>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dashed">
        <color theme="0"/>
      </left>
      <right/>
      <top style="dashed">
        <color theme="0"/>
      </top>
      <bottom style="dashed">
        <color theme="0"/>
      </bottom>
      <diagonal/>
    </border>
    <border>
      <left/>
      <right style="dashed">
        <color theme="0"/>
      </right>
      <top style="dashed">
        <color theme="0"/>
      </top>
      <bottom style="dashed">
        <color theme="0"/>
      </bottom>
      <diagonal/>
    </border>
    <border>
      <left style="thin">
        <color rgb="FFD9D9D9"/>
      </left>
      <right/>
      <top/>
      <bottom style="thin">
        <color rgb="FFD9D9D9"/>
      </bottom>
      <diagonal/>
    </border>
    <border>
      <left style="thin">
        <color rgb="FFD9D9D9"/>
      </left>
      <right/>
      <top style="thin">
        <color rgb="FFD9D9D9"/>
      </top>
      <bottom/>
      <diagonal/>
    </border>
    <border>
      <left style="thin">
        <color rgb="FFD9D9D9"/>
      </left>
      <right/>
      <top style="thin">
        <color theme="7" tint="0.39997558519241921"/>
      </top>
      <bottom/>
      <diagonal/>
    </border>
    <border>
      <left/>
      <right/>
      <top style="thin">
        <color theme="7" tint="0.39997558519241921"/>
      </top>
      <bottom/>
      <diagonal/>
    </border>
    <border>
      <left/>
      <right/>
      <top style="thin">
        <color rgb="FFD9D9D9"/>
      </top>
      <bottom/>
      <diagonal/>
    </border>
  </borders>
  <cellStyleXfs count="1">
    <xf numFmtId="0" fontId="0" fillId="0" borderId="0"/>
  </cellStyleXfs>
  <cellXfs count="76">
    <xf numFmtId="0" fontId="0" fillId="0" borderId="0" xfId="0"/>
    <xf numFmtId="0" fontId="1" fillId="2" borderId="1" xfId="0" applyFont="1" applyFill="1" applyBorder="1" applyAlignment="1">
      <alignment readingOrder="1"/>
    </xf>
    <xf numFmtId="0" fontId="1" fillId="2" borderId="2" xfId="0" applyFont="1" applyFill="1" applyBorder="1" applyAlignment="1">
      <alignment readingOrder="1"/>
    </xf>
    <xf numFmtId="0" fontId="1" fillId="2" borderId="3" xfId="0" applyFont="1" applyFill="1" applyBorder="1" applyAlignment="1">
      <alignment readingOrder="1"/>
    </xf>
    <xf numFmtId="0" fontId="2" fillId="0" borderId="4" xfId="0" applyFont="1" applyBorder="1" applyAlignment="1">
      <alignment readingOrder="1"/>
    </xf>
    <xf numFmtId="0" fontId="2" fillId="0" borderId="3" xfId="0" applyFont="1" applyBorder="1" applyAlignment="1">
      <alignment readingOrder="1"/>
    </xf>
    <xf numFmtId="14" fontId="2" fillId="0" borderId="3" xfId="0" applyNumberFormat="1" applyFont="1" applyBorder="1" applyAlignment="1">
      <alignment readingOrder="1"/>
    </xf>
    <xf numFmtId="2" fontId="2" fillId="0" borderId="3" xfId="0" applyNumberFormat="1" applyFont="1" applyBorder="1" applyAlignment="1">
      <alignment readingOrder="1"/>
    </xf>
    <xf numFmtId="2" fontId="1" fillId="2" borderId="2" xfId="0" applyNumberFormat="1" applyFont="1" applyFill="1" applyBorder="1" applyAlignment="1">
      <alignment readingOrder="1"/>
    </xf>
    <xf numFmtId="2" fontId="2" fillId="0" borderId="6" xfId="0" applyNumberFormat="1" applyFont="1" applyBorder="1" applyAlignment="1">
      <alignment readingOrder="1"/>
    </xf>
    <xf numFmtId="2" fontId="0" fillId="0" borderId="0" xfId="0" applyNumberFormat="1"/>
    <xf numFmtId="2" fontId="1" fillId="2" borderId="5" xfId="0" applyNumberFormat="1" applyFont="1" applyFill="1" applyBorder="1" applyAlignment="1">
      <alignment readingOrder="1"/>
    </xf>
    <xf numFmtId="2" fontId="2" fillId="0" borderId="5" xfId="0" applyNumberFormat="1" applyFont="1" applyBorder="1" applyAlignment="1">
      <alignment readingOrder="1"/>
    </xf>
    <xf numFmtId="2" fontId="2" fillId="0" borderId="0" xfId="0" applyNumberFormat="1" applyFont="1" applyAlignment="1">
      <alignment readingOrder="1"/>
    </xf>
    <xf numFmtId="0" fontId="0" fillId="0" borderId="0" xfId="0" pivotButton="1"/>
    <xf numFmtId="164" fontId="0" fillId="0" borderId="0" xfId="0" applyNumberFormat="1"/>
    <xf numFmtId="1" fontId="0" fillId="0" borderId="0" xfId="0" applyNumberFormat="1"/>
    <xf numFmtId="0" fontId="0" fillId="0" borderId="7" xfId="0" applyBorder="1"/>
    <xf numFmtId="0" fontId="3" fillId="0" borderId="8" xfId="0" applyFont="1" applyBorder="1" applyAlignment="1">
      <alignment horizontal="center"/>
    </xf>
    <xf numFmtId="0" fontId="3" fillId="0" borderId="9" xfId="0" applyFont="1" applyBorder="1" applyAlignment="1">
      <alignment horizontal="center"/>
    </xf>
    <xf numFmtId="0" fontId="0" fillId="0" borderId="10" xfId="0" applyBorder="1"/>
    <xf numFmtId="0" fontId="0" fillId="0" borderId="11" xfId="0" applyBorder="1"/>
    <xf numFmtId="0" fontId="3" fillId="0" borderId="12" xfId="0" applyFont="1" applyBorder="1" applyAlignment="1">
      <alignment horizontal="center"/>
    </xf>
    <xf numFmtId="0" fontId="0" fillId="0" borderId="13" xfId="0" applyBorder="1"/>
    <xf numFmtId="0" fontId="0" fillId="0" borderId="14" xfId="0" applyBorder="1"/>
    <xf numFmtId="0" fontId="0" fillId="0" borderId="15" xfId="0" applyBorder="1"/>
    <xf numFmtId="0" fontId="3" fillId="0" borderId="16" xfId="0" applyFont="1" applyBorder="1" applyAlignment="1">
      <alignment horizontal="center"/>
    </xf>
    <xf numFmtId="0" fontId="0" fillId="0" borderId="17" xfId="0" applyBorder="1"/>
    <xf numFmtId="0" fontId="0" fillId="0" borderId="18" xfId="0" applyBorder="1"/>
    <xf numFmtId="0" fontId="3" fillId="0" borderId="8" xfId="0" applyFont="1" applyBorder="1" applyAlignment="1">
      <alignment horizontal="centerContinuous"/>
    </xf>
    <xf numFmtId="11" fontId="0" fillId="0" borderId="0" xfId="0" applyNumberFormat="1"/>
    <xf numFmtId="14" fontId="0" fillId="0" borderId="0" xfId="0" applyNumberFormat="1"/>
    <xf numFmtId="0" fontId="0" fillId="4" borderId="19" xfId="0" applyFill="1" applyBorder="1"/>
    <xf numFmtId="0" fontId="0" fillId="4" borderId="20" xfId="0" applyFill="1" applyBorder="1"/>
    <xf numFmtId="0" fontId="0" fillId="5" borderId="19" xfId="0" applyFill="1" applyBorder="1"/>
    <xf numFmtId="0" fontId="0" fillId="5" borderId="20" xfId="0" applyFill="1" applyBorder="1"/>
    <xf numFmtId="2" fontId="0" fillId="3" borderId="0" xfId="0" applyNumberFormat="1" applyFill="1"/>
    <xf numFmtId="2" fontId="5" fillId="0" borderId="0" xfId="0" applyNumberFormat="1" applyFont="1"/>
    <xf numFmtId="0" fontId="0" fillId="0" borderId="0" xfId="0" applyAlignment="1">
      <alignment horizontal="left"/>
    </xf>
    <xf numFmtId="0" fontId="1" fillId="2" borderId="22" xfId="0" applyFont="1" applyFill="1" applyBorder="1" applyAlignment="1">
      <alignment readingOrder="1"/>
    </xf>
    <xf numFmtId="1" fontId="1" fillId="2" borderId="22" xfId="0" applyNumberFormat="1" applyFont="1" applyFill="1" applyBorder="1" applyAlignment="1">
      <alignment wrapText="1" readingOrder="1"/>
    </xf>
    <xf numFmtId="2" fontId="1" fillId="2" borderId="22" xfId="0" applyNumberFormat="1" applyFont="1" applyFill="1" applyBorder="1" applyAlignment="1">
      <alignment readingOrder="1"/>
    </xf>
    <xf numFmtId="2" fontId="1" fillId="3" borderId="23" xfId="0" applyNumberFormat="1" applyFont="1" applyFill="1" applyBorder="1" applyAlignment="1">
      <alignment readingOrder="1"/>
    </xf>
    <xf numFmtId="0" fontId="1" fillId="3" borderId="23" xfId="0" applyFont="1" applyFill="1" applyBorder="1" applyAlignment="1">
      <alignment readingOrder="1"/>
    </xf>
    <xf numFmtId="2" fontId="1" fillId="2" borderId="23" xfId="0" applyNumberFormat="1" applyFont="1" applyFill="1" applyBorder="1" applyAlignment="1">
      <alignment readingOrder="1"/>
    </xf>
    <xf numFmtId="2" fontId="1" fillId="2" borderId="24" xfId="0" applyNumberFormat="1" applyFont="1" applyFill="1" applyBorder="1" applyAlignment="1">
      <alignment wrapText="1" readingOrder="1"/>
    </xf>
    <xf numFmtId="0" fontId="2" fillId="6" borderId="22" xfId="0" applyFont="1" applyFill="1" applyBorder="1" applyAlignment="1">
      <alignment readingOrder="1"/>
    </xf>
    <xf numFmtId="14" fontId="2" fillId="6" borderId="22" xfId="0" applyNumberFormat="1" applyFont="1" applyFill="1" applyBorder="1" applyAlignment="1">
      <alignment readingOrder="1"/>
    </xf>
    <xf numFmtId="1" fontId="2" fillId="6" borderId="22" xfId="0" applyNumberFormat="1" applyFont="1" applyFill="1" applyBorder="1" applyAlignment="1">
      <alignment readingOrder="1"/>
    </xf>
    <xf numFmtId="2" fontId="2" fillId="6" borderId="22" xfId="0" applyNumberFormat="1" applyFont="1" applyFill="1" applyBorder="1" applyAlignment="1">
      <alignment readingOrder="1"/>
    </xf>
    <xf numFmtId="2" fontId="2" fillId="3" borderId="22" xfId="0" applyNumberFormat="1" applyFont="1" applyFill="1" applyBorder="1" applyAlignment="1">
      <alignment readingOrder="1"/>
    </xf>
    <xf numFmtId="2" fontId="2" fillId="6" borderId="25" xfId="0" applyNumberFormat="1" applyFont="1" applyFill="1" applyBorder="1" applyAlignment="1">
      <alignment readingOrder="1"/>
    </xf>
    <xf numFmtId="2" fontId="2" fillId="3" borderId="25" xfId="0" applyNumberFormat="1" applyFont="1" applyFill="1" applyBorder="1" applyAlignment="1">
      <alignment readingOrder="1"/>
    </xf>
    <xf numFmtId="0" fontId="2" fillId="0" borderId="22" xfId="0" applyFont="1" applyBorder="1" applyAlignment="1">
      <alignment readingOrder="1"/>
    </xf>
    <xf numFmtId="14" fontId="2" fillId="0" borderId="22" xfId="0" applyNumberFormat="1" applyFont="1" applyBorder="1" applyAlignment="1">
      <alignment readingOrder="1"/>
    </xf>
    <xf numFmtId="1" fontId="2" fillId="0" borderId="22" xfId="0" applyNumberFormat="1" applyFont="1" applyBorder="1" applyAlignment="1">
      <alignment readingOrder="1"/>
    </xf>
    <xf numFmtId="2" fontId="2" fillId="0" borderId="22" xfId="0" applyNumberFormat="1" applyFont="1" applyBorder="1" applyAlignment="1">
      <alignment readingOrder="1"/>
    </xf>
    <xf numFmtId="2" fontId="2" fillId="3" borderId="23" xfId="0" applyNumberFormat="1" applyFont="1" applyFill="1" applyBorder="1" applyAlignment="1">
      <alignment readingOrder="1"/>
    </xf>
    <xf numFmtId="2" fontId="2" fillId="0" borderId="24" xfId="0" applyNumberFormat="1" applyFont="1" applyBorder="1" applyAlignment="1">
      <alignment readingOrder="1"/>
    </xf>
    <xf numFmtId="2" fontId="2" fillId="3" borderId="24" xfId="0" applyNumberFormat="1" applyFont="1" applyFill="1" applyBorder="1" applyAlignment="1">
      <alignment readingOrder="1"/>
    </xf>
    <xf numFmtId="2" fontId="2" fillId="6" borderId="24" xfId="0" applyNumberFormat="1" applyFont="1" applyFill="1" applyBorder="1" applyAlignment="1">
      <alignment readingOrder="1"/>
    </xf>
    <xf numFmtId="0" fontId="1" fillId="2" borderId="25" xfId="0" applyFont="1" applyFill="1" applyBorder="1" applyAlignment="1">
      <alignment readingOrder="1"/>
    </xf>
    <xf numFmtId="0" fontId="2" fillId="6" borderId="25" xfId="0" applyFont="1" applyFill="1" applyBorder="1" applyAlignment="1">
      <alignment readingOrder="1"/>
    </xf>
    <xf numFmtId="0" fontId="2" fillId="0" borderId="25" xfId="0" applyFont="1" applyBorder="1" applyAlignment="1">
      <alignment readingOrder="1"/>
    </xf>
    <xf numFmtId="0" fontId="1" fillId="2" borderId="23" xfId="0" applyFont="1" applyFill="1" applyBorder="1" applyAlignment="1">
      <alignment readingOrder="1"/>
    </xf>
    <xf numFmtId="0" fontId="2" fillId="0" borderId="23" xfId="0" applyFont="1" applyBorder="1" applyAlignment="1">
      <alignment readingOrder="1"/>
    </xf>
    <xf numFmtId="0" fontId="2" fillId="6" borderId="23" xfId="0" applyFont="1" applyFill="1" applyBorder="1" applyAlignment="1">
      <alignment readingOrder="1"/>
    </xf>
    <xf numFmtId="0" fontId="7" fillId="0" borderId="21" xfId="0" applyFont="1" applyBorder="1" applyAlignment="1">
      <alignment readingOrder="1"/>
    </xf>
    <xf numFmtId="14" fontId="7" fillId="0" borderId="21" xfId="0" applyNumberFormat="1" applyFont="1" applyBorder="1" applyAlignment="1">
      <alignment readingOrder="1"/>
    </xf>
    <xf numFmtId="1" fontId="7" fillId="0" borderId="21" xfId="0" applyNumberFormat="1" applyFont="1" applyBorder="1" applyAlignment="1">
      <alignment readingOrder="1"/>
    </xf>
    <xf numFmtId="2" fontId="7" fillId="0" borderId="21" xfId="0" applyNumberFormat="1" applyFont="1" applyBorder="1" applyAlignment="1">
      <alignment readingOrder="1"/>
    </xf>
    <xf numFmtId="2" fontId="7" fillId="3" borderId="21" xfId="0" applyNumberFormat="1" applyFont="1" applyFill="1" applyBorder="1" applyAlignment="1">
      <alignment readingOrder="1"/>
    </xf>
    <xf numFmtId="2" fontId="7" fillId="0" borderId="5" xfId="0" applyNumberFormat="1" applyFont="1" applyBorder="1" applyAlignment="1">
      <alignment readingOrder="1"/>
    </xf>
    <xf numFmtId="2" fontId="7" fillId="3" borderId="5" xfId="0" applyNumberFormat="1" applyFont="1" applyFill="1" applyBorder="1" applyAlignment="1">
      <alignment readingOrder="1"/>
    </xf>
    <xf numFmtId="0" fontId="6" fillId="0" borderId="4" xfId="0" applyFont="1" applyBorder="1"/>
    <xf numFmtId="4" fontId="0" fillId="0" borderId="0" xfId="0" applyNumberFormat="1"/>
  </cellXfs>
  <cellStyles count="1">
    <cellStyle name="Normal" xfId="0" builtinId="0"/>
  </cellStyles>
  <dxfs count="39">
    <dxf>
      <numFmt numFmtId="4" formatCode="#,##0.00"/>
    </dxf>
    <dxf>
      <numFmt numFmtId="2" formatCode="0.00"/>
    </dxf>
    <dxf>
      <numFmt numFmtId="2" formatCode="0.00"/>
    </dxf>
    <dxf>
      <numFmt numFmtId="2" formatCode="0.00"/>
    </dxf>
    <dxf>
      <numFmt numFmtId="19" formatCode="m/d/yyyy"/>
    </dxf>
    <dxf>
      <numFmt numFmtId="4" formatCode="#,##0.00"/>
    </dxf>
    <dxf>
      <numFmt numFmtId="2" formatCode="0.00"/>
    </dxf>
    <dxf>
      <numFmt numFmtId="2" formatCode="0.00"/>
    </dxf>
    <dxf>
      <numFmt numFmtId="0" formatCode="General"/>
    </dxf>
    <dxf>
      <numFmt numFmtId="19" formatCode="m/d/yyyy"/>
    </dxf>
    <dxf>
      <numFmt numFmtId="4" formatCode="#,##0.00"/>
    </dxf>
    <dxf>
      <numFmt numFmtId="2" formatCode="0.00"/>
    </dxf>
    <dxf>
      <numFmt numFmtId="2" formatCode="0.00"/>
    </dxf>
    <dxf>
      <numFmt numFmtId="0" formatCode="General"/>
    </dxf>
    <dxf>
      <numFmt numFmtId="19" formatCode="m/d/yyyy"/>
    </dxf>
    <dxf>
      <font>
        <b val="0"/>
        <i val="0"/>
        <strike val="0"/>
        <condense val="0"/>
        <extend val="0"/>
        <outline val="0"/>
        <shadow val="0"/>
        <u val="none"/>
        <vertAlign val="baseline"/>
        <sz val="11"/>
        <color theme="1"/>
        <name val="Calibri"/>
        <scheme val="none"/>
      </font>
      <alignment horizontal="general" vertical="bottom" textRotation="0" wrapText="0" indent="0" justifyLastLine="0" shrinkToFit="0" readingOrder="1"/>
      <border diagonalUp="0" diagonalDown="0">
        <left style="thin">
          <color rgb="FFD9D9D9"/>
        </left>
        <right/>
        <top style="thin">
          <color theme="7" tint="0.39997558519241921"/>
        </top>
        <bottom/>
        <vertical/>
        <horizontal/>
      </border>
    </dxf>
    <dxf>
      <font>
        <b val="0"/>
        <i val="0"/>
        <strike val="0"/>
        <condense val="0"/>
        <extend val="0"/>
        <outline val="0"/>
        <shadow val="0"/>
        <u val="none"/>
        <vertAlign val="baseline"/>
        <sz val="11"/>
        <color theme="1"/>
        <name val="Calibri"/>
        <scheme val="none"/>
      </font>
      <numFmt numFmtId="2" formatCode="0.00"/>
      <fill>
        <patternFill patternType="solid">
          <fgColor indexed="64"/>
          <bgColor theme="1" tint="0.499984740745262"/>
        </patternFill>
      </fill>
      <alignment horizontal="general" vertical="bottom" textRotation="0" wrapText="0" indent="0" justifyLastLine="0" shrinkToFit="0" readingOrder="1"/>
      <border diagonalUp="0" diagonalDown="0">
        <left style="thin">
          <color rgb="FFD9D9D9"/>
        </left>
        <right/>
        <top style="thin">
          <color theme="7" tint="0.39997558519241921"/>
        </top>
        <bottom/>
        <vertical/>
        <horizontal/>
      </border>
    </dxf>
    <dxf>
      <font>
        <b val="0"/>
        <i val="0"/>
        <strike val="0"/>
        <condense val="0"/>
        <extend val="0"/>
        <outline val="0"/>
        <shadow val="0"/>
        <u val="none"/>
        <vertAlign val="baseline"/>
        <sz val="11"/>
        <color theme="1"/>
        <name val="Calibri"/>
        <scheme val="none"/>
      </font>
      <numFmt numFmtId="2" formatCode="0.00"/>
      <fill>
        <patternFill patternType="solid">
          <fgColor indexed="64"/>
          <bgColor theme="1" tint="0.499984740745262"/>
        </patternFill>
      </fill>
      <alignment horizontal="general" vertical="bottom" textRotation="0" wrapText="0" indent="0" justifyLastLine="0" shrinkToFit="0" readingOrder="1"/>
      <border diagonalUp="0" diagonalDown="0">
        <left/>
        <right/>
        <top style="thin">
          <color theme="7" tint="0.39997558519241921"/>
        </top>
        <bottom/>
        <vertical/>
        <horizontal/>
      </border>
    </dxf>
    <dxf>
      <font>
        <b val="0"/>
        <i val="0"/>
        <strike val="0"/>
        <condense val="0"/>
        <extend val="0"/>
        <outline val="0"/>
        <shadow val="0"/>
        <u val="none"/>
        <vertAlign val="baseline"/>
        <sz val="11"/>
        <color theme="1"/>
        <name val="Calibri"/>
        <scheme val="none"/>
      </font>
      <numFmt numFmtId="2" formatCode="0.00"/>
      <alignment horizontal="general" vertical="bottom" textRotation="0" wrapText="0" indent="0" justifyLastLine="0" shrinkToFit="0" readingOrder="1"/>
      <border diagonalUp="0" diagonalDown="0">
        <left/>
        <right/>
        <top style="thin">
          <color theme="7" tint="0.39997558519241921"/>
        </top>
        <bottom/>
        <vertical/>
        <horizontal/>
      </border>
    </dxf>
    <dxf>
      <font>
        <b val="0"/>
        <i val="0"/>
        <strike val="0"/>
        <condense val="0"/>
        <extend val="0"/>
        <outline val="0"/>
        <shadow val="0"/>
        <u val="none"/>
        <vertAlign val="baseline"/>
        <sz val="11"/>
        <color theme="1"/>
        <name val="Calibri"/>
        <scheme val="none"/>
      </font>
      <numFmt numFmtId="2" formatCode="0.00"/>
      <alignment horizontal="general" vertical="bottom" textRotation="0" wrapText="0" indent="0" justifyLastLine="0" shrinkToFit="0" readingOrder="1"/>
      <border diagonalUp="0" diagonalDown="0">
        <left style="thin">
          <color rgb="FFD9D9D9"/>
        </left>
        <right/>
        <top style="thin">
          <color rgb="FFD9D9D9"/>
        </top>
        <bottom/>
        <vertical/>
        <horizontal/>
      </border>
    </dxf>
    <dxf>
      <font>
        <b val="0"/>
        <i val="0"/>
        <strike val="0"/>
        <condense val="0"/>
        <extend val="0"/>
        <outline val="0"/>
        <shadow val="0"/>
        <u val="none"/>
        <vertAlign val="baseline"/>
        <sz val="11"/>
        <color theme="1"/>
        <name val="Calibri"/>
        <scheme val="none"/>
      </font>
      <numFmt numFmtId="2" formatCode="0.00"/>
      <alignment horizontal="general" vertical="bottom" textRotation="0" wrapText="0" indent="0" justifyLastLine="0" shrinkToFit="0" readingOrder="1"/>
      <border diagonalUp="0" diagonalDown="0">
        <left style="thin">
          <color rgb="FFD9D9D9"/>
        </left>
        <right/>
        <top style="thin">
          <color rgb="FFD9D9D9"/>
        </top>
        <bottom/>
        <vertical/>
        <horizontal/>
      </border>
    </dxf>
    <dxf>
      <font>
        <b val="0"/>
        <i val="0"/>
        <strike val="0"/>
        <condense val="0"/>
        <extend val="0"/>
        <outline val="0"/>
        <shadow val="0"/>
        <u val="none"/>
        <vertAlign val="baseline"/>
        <sz val="11"/>
        <color theme="1"/>
        <name val="Calibri"/>
        <scheme val="none"/>
      </font>
      <numFmt numFmtId="2" formatCode="0.00"/>
      <fill>
        <patternFill patternType="solid">
          <fgColor indexed="64"/>
          <bgColor theme="1" tint="0.499984740745262"/>
        </patternFill>
      </fill>
      <alignment horizontal="general" vertical="bottom" textRotation="0" wrapText="0" indent="0" justifyLastLine="0" shrinkToFit="0" readingOrder="1"/>
      <border diagonalUp="0" diagonalDown="0">
        <left style="thin">
          <color rgb="FFD9D9D9"/>
        </left>
        <right/>
        <top style="thin">
          <color theme="7" tint="0.39997558519241921"/>
        </top>
        <bottom/>
        <vertical/>
        <horizontal/>
      </border>
    </dxf>
    <dxf>
      <font>
        <b val="0"/>
        <i val="0"/>
        <strike val="0"/>
        <condense val="0"/>
        <extend val="0"/>
        <outline val="0"/>
        <shadow val="0"/>
        <u val="none"/>
        <vertAlign val="baseline"/>
        <sz val="11"/>
        <color theme="1"/>
        <name val="Calibri"/>
        <scheme val="none"/>
      </font>
      <numFmt numFmtId="2" formatCode="0.00"/>
      <fill>
        <patternFill patternType="solid">
          <fgColor indexed="64"/>
          <bgColor theme="1" tint="0.499984740745262"/>
        </patternFill>
      </fill>
      <alignment horizontal="general" vertical="bottom" textRotation="0" wrapText="0" indent="0" justifyLastLine="0" shrinkToFit="0" readingOrder="1"/>
      <border diagonalUp="0" diagonalDown="0">
        <left style="thin">
          <color rgb="FFD9D9D9"/>
        </left>
        <right/>
        <top style="thin">
          <color theme="7" tint="0.39997558519241921"/>
        </top>
        <bottom/>
        <vertical/>
        <horizontal/>
      </border>
    </dxf>
    <dxf>
      <font>
        <b val="0"/>
        <i val="0"/>
        <strike val="0"/>
        <condense val="0"/>
        <extend val="0"/>
        <outline val="0"/>
        <shadow val="0"/>
        <u val="none"/>
        <vertAlign val="baseline"/>
        <sz val="11"/>
        <color theme="1"/>
        <name val="Calibri"/>
        <scheme val="none"/>
      </font>
      <numFmt numFmtId="2" formatCode="0.00"/>
      <alignment horizontal="general" vertical="bottom" textRotation="0" wrapText="0" indent="0" justifyLastLine="0" shrinkToFit="0" readingOrder="1"/>
      <border diagonalUp="0" diagonalDown="0">
        <left style="thin">
          <color rgb="FFD9D9D9"/>
        </left>
        <right/>
        <top style="thin">
          <color rgb="FFD9D9D9"/>
        </top>
        <bottom/>
        <vertical/>
        <horizontal/>
      </border>
    </dxf>
    <dxf>
      <font>
        <b val="0"/>
        <i val="0"/>
        <strike val="0"/>
        <condense val="0"/>
        <extend val="0"/>
        <outline val="0"/>
        <shadow val="0"/>
        <u val="none"/>
        <vertAlign val="baseline"/>
        <sz val="11"/>
        <color theme="1"/>
        <name val="Calibri"/>
        <scheme val="none"/>
      </font>
      <numFmt numFmtId="2" formatCode="0.00"/>
      <alignment horizontal="general" vertical="bottom" textRotation="0" wrapText="0" indent="0" justifyLastLine="0" shrinkToFit="0" readingOrder="1"/>
      <border diagonalUp="0" diagonalDown="0">
        <left style="thin">
          <color rgb="FFD9D9D9"/>
        </left>
        <right/>
        <top style="thin">
          <color rgb="FFD9D9D9"/>
        </top>
        <bottom/>
        <vertical/>
        <horizontal/>
      </border>
    </dxf>
    <dxf>
      <font>
        <b val="0"/>
        <i val="0"/>
        <strike val="0"/>
        <condense val="0"/>
        <extend val="0"/>
        <outline val="0"/>
        <shadow val="0"/>
        <u val="none"/>
        <vertAlign val="baseline"/>
        <sz val="11"/>
        <color theme="1"/>
        <name val="Calibri"/>
        <scheme val="none"/>
      </font>
      <numFmt numFmtId="19" formatCode="m/d/yyyy"/>
      <alignment horizontal="general" vertical="bottom" textRotation="0" wrapText="0" indent="0" justifyLastLine="0" shrinkToFit="0" readingOrder="1"/>
      <border diagonalUp="0" diagonalDown="0">
        <left style="thin">
          <color rgb="FFD9D9D9"/>
        </left>
        <right/>
        <top style="thin">
          <color rgb="FFD9D9D9"/>
        </top>
        <bottom/>
        <vertical/>
        <horizontal/>
      </border>
    </dxf>
    <dxf>
      <font>
        <b val="0"/>
        <i val="0"/>
        <strike val="0"/>
        <condense val="0"/>
        <extend val="0"/>
        <outline val="0"/>
        <shadow val="0"/>
        <u val="none"/>
        <vertAlign val="baseline"/>
        <sz val="11"/>
        <color theme="1"/>
        <name val="Calibri"/>
        <scheme val="none"/>
      </font>
      <numFmt numFmtId="19" formatCode="m/d/yyyy"/>
      <fill>
        <patternFill patternType="solid">
          <fgColor theme="7" tint="0.79998168889431442"/>
          <bgColor theme="7" tint="0.79998168889431442"/>
        </patternFill>
      </fill>
      <alignment horizontal="general" vertical="bottom" textRotation="0" wrapText="0" indent="0" justifyLastLine="0" shrinkToFit="0" readingOrder="1"/>
      <border diagonalUp="0" diagonalDown="0">
        <left style="thin">
          <color rgb="FFD9D9D9"/>
        </left>
        <right/>
        <top style="thin">
          <color rgb="FFD9D9D9"/>
        </top>
        <bottom/>
        <vertical/>
        <horizontal/>
      </border>
    </dxf>
    <dxf>
      <font>
        <b val="0"/>
        <i val="0"/>
        <strike val="0"/>
        <condense val="0"/>
        <extend val="0"/>
        <outline val="0"/>
        <shadow val="0"/>
        <u val="none"/>
        <vertAlign val="baseline"/>
        <sz val="11"/>
        <color theme="1"/>
        <name val="Calibri"/>
        <scheme val="none"/>
      </font>
      <numFmt numFmtId="19" formatCode="m/d/yyyy"/>
      <alignment horizontal="general" vertical="bottom" textRotation="0" wrapText="0" indent="0" justifyLastLine="0" shrinkToFit="0" readingOrder="1"/>
      <border diagonalUp="0" diagonalDown="0">
        <left style="thin">
          <color rgb="FFD9D9D9"/>
        </left>
        <right/>
        <top style="thin">
          <color rgb="FFD9D9D9"/>
        </top>
        <bottom/>
        <vertical/>
        <horizontal/>
      </border>
    </dxf>
    <dxf>
      <font>
        <b val="0"/>
        <i val="0"/>
        <strike val="0"/>
        <condense val="0"/>
        <extend val="0"/>
        <outline val="0"/>
        <shadow val="0"/>
        <u val="none"/>
        <vertAlign val="baseline"/>
        <sz val="11"/>
        <color theme="1"/>
        <name val="Calibri"/>
        <scheme val="none"/>
      </font>
      <numFmt numFmtId="1" formatCode="0"/>
      <alignment horizontal="general" vertical="bottom" textRotation="0" wrapText="0" indent="0" justifyLastLine="0" shrinkToFit="0" readingOrder="1"/>
      <border diagonalUp="0" diagonalDown="0">
        <left style="thin">
          <color rgb="FFD9D9D9"/>
        </left>
        <right/>
        <top style="thin">
          <color rgb="FFD9D9D9"/>
        </top>
        <bottom/>
        <vertical/>
        <horizontal/>
      </border>
    </dxf>
    <dxf>
      <font>
        <b val="0"/>
        <i val="0"/>
        <strike val="0"/>
        <condense val="0"/>
        <extend val="0"/>
        <outline val="0"/>
        <shadow val="0"/>
        <u val="none"/>
        <vertAlign val="baseline"/>
        <sz val="11"/>
        <color theme="1"/>
        <name val="Calibri"/>
        <scheme val="none"/>
      </font>
      <numFmt numFmtId="19" formatCode="m/d/yyyy"/>
      <alignment horizontal="general" vertical="bottom" textRotation="0" wrapText="0" indent="0" justifyLastLine="0" shrinkToFit="0" readingOrder="1"/>
      <border diagonalUp="0" diagonalDown="0">
        <left style="thin">
          <color rgb="FFD9D9D9"/>
        </left>
        <right/>
        <top style="thin">
          <color rgb="FFD9D9D9"/>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0" indent="0" justifyLastLine="0" shrinkToFit="0" readingOrder="1"/>
      <border diagonalUp="0" diagonalDown="0">
        <left style="thin">
          <color rgb="FFD9D9D9"/>
        </left>
        <right/>
        <top style="thin">
          <color rgb="FFD9D9D9"/>
        </top>
        <bottom/>
        <vertical/>
        <horizontal/>
      </border>
    </dxf>
    <dxf>
      <font>
        <b val="0"/>
        <i val="0"/>
        <strike val="0"/>
        <condense val="0"/>
        <extend val="0"/>
        <outline val="0"/>
        <shadow val="0"/>
        <u val="none"/>
        <vertAlign val="baseline"/>
        <sz val="11"/>
        <color theme="1"/>
        <name val="Calibri"/>
        <scheme val="none"/>
      </font>
      <numFmt numFmtId="19" formatCode="m/d/yyyy"/>
      <alignment horizontal="general" vertical="bottom" textRotation="0" wrapText="0" indent="0" justifyLastLine="0" shrinkToFit="0" readingOrder="1"/>
      <border diagonalUp="0" diagonalDown="0">
        <left style="thin">
          <color rgb="FFD9D9D9"/>
        </left>
        <right/>
        <top style="thin">
          <color rgb="FFD9D9D9"/>
        </top>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0" indent="0" justifyLastLine="0" shrinkToFit="0" readingOrder="1"/>
      <border diagonalUp="0" diagonalDown="0">
        <left/>
        <right/>
        <top style="thin">
          <color rgb="FFD9D9D9"/>
        </top>
        <bottom/>
        <vertical/>
        <horizontal/>
      </border>
    </dxf>
    <dxf>
      <border outline="0">
        <left style="thin">
          <color rgb="FFD9D9D9"/>
        </left>
        <right style="thin">
          <color rgb="FFD9D9D9"/>
        </right>
        <bottom style="double">
          <color theme="7"/>
        </bottom>
      </border>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Daily Order Trend (Jan-Feb)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trendline>
            <c:spPr>
              <a:ln w="19050" cap="rnd">
                <a:solidFill>
                  <a:schemeClr val="accent1"/>
                </a:solidFill>
                <a:prstDash val="sysDot"/>
              </a:ln>
              <a:effectLst/>
            </c:spPr>
            <c:trendlineType val="linear"/>
            <c:dispRSqr val="0"/>
            <c:dispEq val="0"/>
          </c:trendline>
          <c:trendline>
            <c:spPr>
              <a:ln w="31750" cap="rnd">
                <a:solidFill>
                  <a:schemeClr val="tx1"/>
                </a:solidFill>
                <a:prstDash val="sysDot"/>
              </a:ln>
              <a:effectLst/>
            </c:spPr>
            <c:trendlineType val="linear"/>
            <c:dispRSqr val="0"/>
            <c:dispEq val="0"/>
          </c:trendline>
          <c:cat>
            <c:numRef>
              <c:f>'PIVOT TABLES'!$C$156:$C$190</c:f>
              <c:numCache>
                <c:formatCode>m/d/yyyy</c:formatCode>
                <c:ptCount val="35"/>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numCache>
            </c:numRef>
          </c:cat>
          <c:val>
            <c:numRef>
              <c:f>'PIVOT TABLES'!$D$156:$D$190</c:f>
              <c:numCache>
                <c:formatCode>0</c:formatCode>
                <c:ptCount val="35"/>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3</c:v>
                </c:pt>
                <c:pt idx="32">
                  <c:v>1</c:v>
                </c:pt>
                <c:pt idx="33">
                  <c:v>1</c:v>
                </c:pt>
                <c:pt idx="34">
                  <c:v>3</c:v>
                </c:pt>
              </c:numCache>
            </c:numRef>
          </c:val>
          <c:smooth val="1"/>
          <c:extLst>
            <c:ext xmlns:c16="http://schemas.microsoft.com/office/drawing/2014/chart" uri="{C3380CC4-5D6E-409C-BE32-E72D297353CC}">
              <c16:uniqueId val="{00000000-FAB8-489F-BFE6-7CB0D10DA174}"/>
            </c:ext>
          </c:extLst>
        </c:ser>
        <c:dLbls>
          <c:showLegendKey val="0"/>
          <c:showVal val="0"/>
          <c:showCatName val="0"/>
          <c:showSerName val="0"/>
          <c:showPercent val="0"/>
          <c:showBubbleSize val="0"/>
        </c:dLbls>
        <c:smooth val="0"/>
        <c:axId val="1117847376"/>
        <c:axId val="1117845216"/>
      </c:lineChart>
      <c:dateAx>
        <c:axId val="1117847376"/>
        <c:scaling>
          <c:orientation val="minMax"/>
        </c:scaling>
        <c:delete val="1"/>
        <c:axPos val="b"/>
        <c:numFmt formatCode="m/d/yyyy" sourceLinked="1"/>
        <c:majorTickMark val="out"/>
        <c:minorTickMark val="none"/>
        <c:tickLblPos val="nextTo"/>
        <c:crossAx val="1117845216"/>
        <c:crosses val="autoZero"/>
        <c:auto val="1"/>
        <c:lblOffset val="100"/>
        <c:baseTimeUnit val="days"/>
      </c:dateAx>
      <c:valAx>
        <c:axId val="1117845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847376"/>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Daily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TABLES'!$D$116</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TABLES'!$C$117:$C$123</c:f>
              <c:strCache>
                <c:ptCount val="7"/>
                <c:pt idx="0">
                  <c:v>Friday</c:v>
                </c:pt>
                <c:pt idx="1">
                  <c:v>Monday</c:v>
                </c:pt>
                <c:pt idx="2">
                  <c:v>Saturday</c:v>
                </c:pt>
                <c:pt idx="3">
                  <c:v>Tuesday</c:v>
                </c:pt>
                <c:pt idx="4">
                  <c:v>Wednesday</c:v>
                </c:pt>
                <c:pt idx="5">
                  <c:v>Sunday</c:v>
                </c:pt>
                <c:pt idx="6">
                  <c:v>Thursday</c:v>
                </c:pt>
              </c:strCache>
            </c:strRef>
          </c:cat>
          <c:val>
            <c:numRef>
              <c:f>'PIVOT TABLES'!$D$117:$D$123</c:f>
              <c:numCache>
                <c:formatCode>0.00</c:formatCode>
                <c:ptCount val="7"/>
                <c:pt idx="0">
                  <c:v>1363.78</c:v>
                </c:pt>
                <c:pt idx="1">
                  <c:v>1396.7470000000003</c:v>
                </c:pt>
                <c:pt idx="2">
                  <c:v>1451.7470000000003</c:v>
                </c:pt>
                <c:pt idx="3">
                  <c:v>1594.7250000000001</c:v>
                </c:pt>
                <c:pt idx="4">
                  <c:v>1638.7360000000003</c:v>
                </c:pt>
                <c:pt idx="5">
                  <c:v>1671.7249999999999</c:v>
                </c:pt>
                <c:pt idx="6">
                  <c:v>1737.6920000000002</c:v>
                </c:pt>
              </c:numCache>
            </c:numRef>
          </c:val>
          <c:extLst>
            <c:ext xmlns:c16="http://schemas.microsoft.com/office/drawing/2014/chart" uri="{C3380CC4-5D6E-409C-BE32-E72D297353CC}">
              <c16:uniqueId val="{00000000-5EDE-488E-B381-0736477886D9}"/>
            </c:ext>
          </c:extLst>
        </c:ser>
        <c:dLbls>
          <c:dLblPos val="outEnd"/>
          <c:showLegendKey val="0"/>
          <c:showVal val="1"/>
          <c:showCatName val="0"/>
          <c:showSerName val="0"/>
          <c:showPercent val="0"/>
          <c:showBubbleSize val="0"/>
        </c:dLbls>
        <c:gapWidth val="182"/>
        <c:axId val="1067189992"/>
        <c:axId val="1067188192"/>
      </c:barChart>
      <c:catAx>
        <c:axId val="1067189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067188192"/>
        <c:crosses val="autoZero"/>
        <c:auto val="1"/>
        <c:lblAlgn val="ctr"/>
        <c:lblOffset val="100"/>
        <c:noMultiLvlLbl val="0"/>
      </c:catAx>
      <c:valAx>
        <c:axId val="10671881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7189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tx1"/>
                </a:solidFill>
                <a:latin typeface="+mn-lt"/>
              </a:rPr>
              <a:t>Revenue Trend(Jan-Feb)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trendline>
            <c:spPr>
              <a:ln w="19050" cap="rnd">
                <a:solidFill>
                  <a:schemeClr val="tx1">
                    <a:alpha val="90000"/>
                  </a:schemeClr>
                </a:solidFill>
                <a:prstDash val="sysDot"/>
              </a:ln>
              <a:effectLst/>
            </c:spPr>
            <c:trendlineType val="linear"/>
            <c:dispRSqr val="0"/>
            <c:dispEq val="0"/>
          </c:trendline>
          <c:cat>
            <c:numRef>
              <c:f>'PIVOT TABLES'!$C$206:$C$240</c:f>
              <c:numCache>
                <c:formatCode>m/d/yyyy</c:formatCode>
                <c:ptCount val="35"/>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numCache>
            </c:numRef>
          </c:cat>
          <c:val>
            <c:numRef>
              <c:f>'PIVOT TABLES'!$D$206:$D$240</c:f>
              <c:numCache>
                <c:formatCode>0</c:formatCode>
                <c:ptCount val="35"/>
                <c:pt idx="0">
                  <c:v>142.96699999999998</c:v>
                </c:pt>
                <c:pt idx="1">
                  <c:v>417.923</c:v>
                </c:pt>
                <c:pt idx="2">
                  <c:v>340.96699999999998</c:v>
                </c:pt>
                <c:pt idx="3">
                  <c:v>285.94500000000005</c:v>
                </c:pt>
                <c:pt idx="4">
                  <c:v>318.97800000000001</c:v>
                </c:pt>
                <c:pt idx="5">
                  <c:v>340.923</c:v>
                </c:pt>
                <c:pt idx="6">
                  <c:v>307.95600000000002</c:v>
                </c:pt>
                <c:pt idx="7">
                  <c:v>252.94499999999999</c:v>
                </c:pt>
                <c:pt idx="8">
                  <c:v>285.94500000000005</c:v>
                </c:pt>
                <c:pt idx="9">
                  <c:v>384.93399999999997</c:v>
                </c:pt>
                <c:pt idx="10">
                  <c:v>340.94500000000005</c:v>
                </c:pt>
                <c:pt idx="11">
                  <c:v>230.94499999999999</c:v>
                </c:pt>
                <c:pt idx="12">
                  <c:v>318.96699999999998</c:v>
                </c:pt>
                <c:pt idx="13">
                  <c:v>351.95600000000002</c:v>
                </c:pt>
                <c:pt idx="14">
                  <c:v>340.923</c:v>
                </c:pt>
                <c:pt idx="15">
                  <c:v>307.95600000000002</c:v>
                </c:pt>
                <c:pt idx="16">
                  <c:v>252.94499999999999</c:v>
                </c:pt>
                <c:pt idx="17">
                  <c:v>285.94500000000005</c:v>
                </c:pt>
                <c:pt idx="18">
                  <c:v>384.93399999999997</c:v>
                </c:pt>
                <c:pt idx="19">
                  <c:v>340.94500000000005</c:v>
                </c:pt>
                <c:pt idx="20">
                  <c:v>230.94499999999999</c:v>
                </c:pt>
                <c:pt idx="21">
                  <c:v>318.96699999999998</c:v>
                </c:pt>
                <c:pt idx="22">
                  <c:v>351.95600000000002</c:v>
                </c:pt>
                <c:pt idx="23">
                  <c:v>340.923</c:v>
                </c:pt>
                <c:pt idx="24">
                  <c:v>307.95600000000002</c:v>
                </c:pt>
                <c:pt idx="25">
                  <c:v>252.94499999999999</c:v>
                </c:pt>
                <c:pt idx="26">
                  <c:v>285.94500000000005</c:v>
                </c:pt>
                <c:pt idx="27">
                  <c:v>384.93399999999997</c:v>
                </c:pt>
                <c:pt idx="28">
                  <c:v>340.94500000000005</c:v>
                </c:pt>
                <c:pt idx="29">
                  <c:v>230.94499999999999</c:v>
                </c:pt>
                <c:pt idx="30">
                  <c:v>318.96699999999998</c:v>
                </c:pt>
                <c:pt idx="31">
                  <c:v>516.90100000000007</c:v>
                </c:pt>
                <c:pt idx="32">
                  <c:v>175.97800000000001</c:v>
                </c:pt>
                <c:pt idx="33">
                  <c:v>164.96700000000001</c:v>
                </c:pt>
                <c:pt idx="34">
                  <c:v>395.93399999999997</c:v>
                </c:pt>
              </c:numCache>
            </c:numRef>
          </c:val>
          <c:smooth val="0"/>
          <c:extLst>
            <c:ext xmlns:c16="http://schemas.microsoft.com/office/drawing/2014/chart" uri="{C3380CC4-5D6E-409C-BE32-E72D297353CC}">
              <c16:uniqueId val="{00000001-CE11-40B1-8EC0-0B082CD9D3F7}"/>
            </c:ext>
          </c:extLst>
        </c:ser>
        <c:dLbls>
          <c:showLegendKey val="0"/>
          <c:showVal val="0"/>
          <c:showCatName val="0"/>
          <c:showSerName val="0"/>
          <c:showPercent val="0"/>
          <c:showBubbleSize val="0"/>
        </c:dLbls>
        <c:smooth val="0"/>
        <c:axId val="1265685624"/>
        <c:axId val="1265688864"/>
      </c:lineChart>
      <c:dateAx>
        <c:axId val="1265685624"/>
        <c:scaling>
          <c:orientation val="minMax"/>
        </c:scaling>
        <c:delete val="1"/>
        <c:axPos val="b"/>
        <c:numFmt formatCode="m/d/yyyy" sourceLinked="1"/>
        <c:majorTickMark val="none"/>
        <c:minorTickMark val="none"/>
        <c:tickLblPos val="nextTo"/>
        <c:crossAx val="1265688864"/>
        <c:crosses val="autoZero"/>
        <c:auto val="1"/>
        <c:lblOffset val="100"/>
        <c:baseTimeUnit val="days"/>
      </c:dateAx>
      <c:valAx>
        <c:axId val="12656888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56856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Order Quantity Trend(Jan-Feb)</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spPr>
            <a:ln w="31750" cap="rnd">
              <a:solidFill>
                <a:schemeClr val="accent1"/>
              </a:solidFill>
              <a:round/>
            </a:ln>
            <a:effectLst/>
          </c:spPr>
          <c:marker>
            <c:symbol val="none"/>
          </c:marker>
          <c:trendline>
            <c:spPr>
              <a:ln w="19050" cap="rnd">
                <a:solidFill>
                  <a:schemeClr val="accent1"/>
                </a:solidFill>
                <a:prstDash val="sysDash"/>
              </a:ln>
              <a:effectLst/>
            </c:spPr>
            <c:trendlineType val="linear"/>
            <c:dispRSqr val="0"/>
            <c:dispEq val="0"/>
          </c:trendline>
          <c:cat>
            <c:numRef>
              <c:f>'PIVOT TABLES'!$C$257:$C$291</c:f>
              <c:numCache>
                <c:formatCode>m/d/yyyy</c:formatCode>
                <c:ptCount val="35"/>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numCache>
            </c:numRef>
          </c:cat>
          <c:val>
            <c:numRef>
              <c:f>'PIVOT TABLES'!$D$257:$D$291</c:f>
              <c:numCache>
                <c:formatCode>0</c:formatCode>
                <c:ptCount val="35"/>
                <c:pt idx="0">
                  <c:v>3</c:v>
                </c:pt>
                <c:pt idx="1">
                  <c:v>7</c:v>
                </c:pt>
                <c:pt idx="2">
                  <c:v>3</c:v>
                </c:pt>
                <c:pt idx="3">
                  <c:v>5</c:v>
                </c:pt>
                <c:pt idx="4">
                  <c:v>2</c:v>
                </c:pt>
                <c:pt idx="5">
                  <c:v>7</c:v>
                </c:pt>
                <c:pt idx="6">
                  <c:v>4</c:v>
                </c:pt>
                <c:pt idx="7">
                  <c:v>5</c:v>
                </c:pt>
                <c:pt idx="8">
                  <c:v>5</c:v>
                </c:pt>
                <c:pt idx="9">
                  <c:v>6</c:v>
                </c:pt>
                <c:pt idx="10">
                  <c:v>5</c:v>
                </c:pt>
                <c:pt idx="11">
                  <c:v>5</c:v>
                </c:pt>
                <c:pt idx="12">
                  <c:v>3</c:v>
                </c:pt>
                <c:pt idx="13">
                  <c:v>4</c:v>
                </c:pt>
                <c:pt idx="14">
                  <c:v>7</c:v>
                </c:pt>
                <c:pt idx="15">
                  <c:v>4</c:v>
                </c:pt>
                <c:pt idx="16">
                  <c:v>5</c:v>
                </c:pt>
                <c:pt idx="17">
                  <c:v>5</c:v>
                </c:pt>
                <c:pt idx="18">
                  <c:v>6</c:v>
                </c:pt>
                <c:pt idx="19">
                  <c:v>5</c:v>
                </c:pt>
                <c:pt idx="20">
                  <c:v>5</c:v>
                </c:pt>
                <c:pt idx="21">
                  <c:v>3</c:v>
                </c:pt>
                <c:pt idx="22">
                  <c:v>4</c:v>
                </c:pt>
                <c:pt idx="23">
                  <c:v>7</c:v>
                </c:pt>
                <c:pt idx="24">
                  <c:v>4</c:v>
                </c:pt>
                <c:pt idx="25">
                  <c:v>5</c:v>
                </c:pt>
                <c:pt idx="26">
                  <c:v>5</c:v>
                </c:pt>
                <c:pt idx="27">
                  <c:v>6</c:v>
                </c:pt>
                <c:pt idx="28">
                  <c:v>5</c:v>
                </c:pt>
                <c:pt idx="29">
                  <c:v>5</c:v>
                </c:pt>
                <c:pt idx="30">
                  <c:v>3</c:v>
                </c:pt>
                <c:pt idx="31">
                  <c:v>9</c:v>
                </c:pt>
                <c:pt idx="32">
                  <c:v>2</c:v>
                </c:pt>
                <c:pt idx="33">
                  <c:v>3</c:v>
                </c:pt>
                <c:pt idx="34">
                  <c:v>6</c:v>
                </c:pt>
              </c:numCache>
            </c:numRef>
          </c:val>
          <c:smooth val="0"/>
          <c:extLst>
            <c:ext xmlns:c16="http://schemas.microsoft.com/office/drawing/2014/chart" uri="{C3380CC4-5D6E-409C-BE32-E72D297353CC}">
              <c16:uniqueId val="{00000000-7179-4C37-91CC-5FA5CEE48E9D}"/>
            </c:ext>
          </c:extLst>
        </c:ser>
        <c:dLbls>
          <c:showLegendKey val="0"/>
          <c:showVal val="0"/>
          <c:showCatName val="0"/>
          <c:showSerName val="0"/>
          <c:showPercent val="0"/>
          <c:showBubbleSize val="0"/>
        </c:dLbls>
        <c:smooth val="0"/>
        <c:axId val="913193992"/>
        <c:axId val="2060207111"/>
      </c:lineChart>
      <c:dateAx>
        <c:axId val="913193992"/>
        <c:scaling>
          <c:orientation val="minMax"/>
        </c:scaling>
        <c:delete val="1"/>
        <c:axPos val="b"/>
        <c:numFmt formatCode="m/d/yyyy" sourceLinked="1"/>
        <c:majorTickMark val="out"/>
        <c:minorTickMark val="none"/>
        <c:tickLblPos val="nextTo"/>
        <c:crossAx val="2060207111"/>
        <c:crosses val="autoZero"/>
        <c:auto val="1"/>
        <c:lblOffset val="100"/>
        <c:baseTimeUnit val="days"/>
      </c:dateAx>
      <c:valAx>
        <c:axId val="2060207111"/>
        <c:scaling>
          <c:orientation val="minMax"/>
        </c:scaling>
        <c:delete val="0"/>
        <c:axPos val="l"/>
        <c:majorGridlines>
          <c:spPr>
            <a:ln w="9525" cap="flat" cmpd="sng" algn="ctr">
              <a:solidFill>
                <a:schemeClr val="tx2">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13193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baseline="0">
                <a:solidFill>
                  <a:sysClr val="windowText" lastClr="000000"/>
                </a:solidFill>
              </a:rPr>
              <a:t>Daily Sales Trend (Jan-Feb)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manualLayout>
          <c:layoutTarget val="inner"/>
          <c:xMode val="edge"/>
          <c:yMode val="edge"/>
          <c:x val="9.167656296107321E-2"/>
          <c:y val="0.1923148671744824"/>
          <c:w val="0.87781001430002714"/>
          <c:h val="0.67086712967224793"/>
        </c:manualLayout>
      </c:layout>
      <c:lineChart>
        <c:grouping val="standard"/>
        <c:varyColors val="0"/>
        <c:ser>
          <c:idx val="0"/>
          <c:order val="0"/>
          <c:spPr>
            <a:ln w="28575" cap="rnd">
              <a:solidFill>
                <a:schemeClr val="accent1"/>
              </a:solidFill>
              <a:round/>
            </a:ln>
            <a:effectLst/>
          </c:spPr>
          <c:marker>
            <c:symbol val="none"/>
          </c:marker>
          <c:trendline>
            <c:spPr>
              <a:ln w="19050" cap="rnd">
                <a:solidFill>
                  <a:schemeClr val="bg2">
                    <a:lumMod val="10000"/>
                    <a:alpha val="90000"/>
                  </a:schemeClr>
                </a:solidFill>
                <a:prstDash val="sysDot"/>
              </a:ln>
              <a:effectLst/>
            </c:spPr>
            <c:trendlineType val="linear"/>
            <c:dispRSqr val="0"/>
            <c:dispEq val="0"/>
          </c:trendline>
          <c:cat>
            <c:strRef>
              <c:f>'PIVOT TABLES'!$L$3:$L$9</c:f>
              <c:strCache>
                <c:ptCount val="7"/>
                <c:pt idx="0">
                  <c:v>Sunday</c:v>
                </c:pt>
                <c:pt idx="1">
                  <c:v>Monday</c:v>
                </c:pt>
                <c:pt idx="2">
                  <c:v>Tuesday</c:v>
                </c:pt>
                <c:pt idx="3">
                  <c:v>Wednesday</c:v>
                </c:pt>
                <c:pt idx="4">
                  <c:v>Thursday</c:v>
                </c:pt>
                <c:pt idx="5">
                  <c:v>Friday</c:v>
                </c:pt>
                <c:pt idx="6">
                  <c:v>Saturday</c:v>
                </c:pt>
              </c:strCache>
            </c:strRef>
          </c:cat>
          <c:val>
            <c:numRef>
              <c:f>'PIVOT TABLES'!$M$3:$M$9</c:f>
              <c:numCache>
                <c:formatCode>General</c:formatCode>
                <c:ptCount val="7"/>
                <c:pt idx="0">
                  <c:v>1671.7249999999999</c:v>
                </c:pt>
                <c:pt idx="1">
                  <c:v>1396.7470000000003</c:v>
                </c:pt>
                <c:pt idx="2">
                  <c:v>1594.7250000000001</c:v>
                </c:pt>
                <c:pt idx="3">
                  <c:v>1638.7360000000003</c:v>
                </c:pt>
                <c:pt idx="4">
                  <c:v>1737.6920000000002</c:v>
                </c:pt>
                <c:pt idx="5">
                  <c:v>1363.78</c:v>
                </c:pt>
                <c:pt idx="6">
                  <c:v>1451.7470000000003</c:v>
                </c:pt>
              </c:numCache>
            </c:numRef>
          </c:val>
          <c:smooth val="0"/>
          <c:extLst>
            <c:ext xmlns:c16="http://schemas.microsoft.com/office/drawing/2014/chart" uri="{C3380CC4-5D6E-409C-BE32-E72D297353CC}">
              <c16:uniqueId val="{00000000-22B9-4E47-8F16-185B64AE7B1B}"/>
            </c:ext>
          </c:extLst>
        </c:ser>
        <c:dLbls>
          <c:showLegendKey val="0"/>
          <c:showVal val="0"/>
          <c:showCatName val="0"/>
          <c:showSerName val="0"/>
          <c:showPercent val="0"/>
          <c:showBubbleSize val="0"/>
        </c:dLbls>
        <c:smooth val="0"/>
        <c:axId val="1914373528"/>
        <c:axId val="1914369928"/>
      </c:lineChart>
      <c:catAx>
        <c:axId val="1914373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14369928"/>
        <c:crosses val="autoZero"/>
        <c:auto val="1"/>
        <c:lblAlgn val="ctr"/>
        <c:lblOffset val="100"/>
        <c:noMultiLvlLbl val="0"/>
      </c:catAx>
      <c:valAx>
        <c:axId val="1914369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914373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K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FORECAST(Total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'FORECAST(Total USD)'!$B$1</c:f>
              <c:strCache>
                <c:ptCount val="1"/>
                <c:pt idx="0">
                  <c:v>Total_(USD)</c:v>
                </c:pt>
              </c:strCache>
            </c:strRef>
          </c:tx>
          <c:spPr>
            <a:ln w="28575" cap="rnd">
              <a:solidFill>
                <a:schemeClr val="accent1"/>
              </a:solidFill>
              <a:round/>
            </a:ln>
            <a:effectLst/>
          </c:spPr>
          <c:marker>
            <c:symbol val="none"/>
          </c:marker>
          <c:val>
            <c:numRef>
              <c:f>'FORECAST(Total USD)'!$B$2:$B$62</c:f>
              <c:numCache>
                <c:formatCode>General</c:formatCode>
                <c:ptCount val="61"/>
                <c:pt idx="0">
                  <c:v>71.483499999999992</c:v>
                </c:pt>
                <c:pt idx="1">
                  <c:v>208.9615</c:v>
                </c:pt>
                <c:pt idx="2">
                  <c:v>170.48349999999999</c:v>
                </c:pt>
                <c:pt idx="3">
                  <c:v>142.97250000000003</c:v>
                </c:pt>
                <c:pt idx="4">
                  <c:v>159.489</c:v>
                </c:pt>
                <c:pt idx="5">
                  <c:v>170.4615</c:v>
                </c:pt>
                <c:pt idx="6">
                  <c:v>153.97800000000001</c:v>
                </c:pt>
                <c:pt idx="7">
                  <c:v>126.4725</c:v>
                </c:pt>
                <c:pt idx="8">
                  <c:v>142.97250000000003</c:v>
                </c:pt>
                <c:pt idx="9">
                  <c:v>192.46699999999998</c:v>
                </c:pt>
                <c:pt idx="10">
                  <c:v>170.47250000000003</c:v>
                </c:pt>
                <c:pt idx="11">
                  <c:v>115.4725</c:v>
                </c:pt>
                <c:pt idx="12">
                  <c:v>159.48349999999999</c:v>
                </c:pt>
                <c:pt idx="13">
                  <c:v>175.97800000000001</c:v>
                </c:pt>
                <c:pt idx="14">
                  <c:v>170.4615</c:v>
                </c:pt>
                <c:pt idx="15">
                  <c:v>153.97800000000001</c:v>
                </c:pt>
                <c:pt idx="16">
                  <c:v>126.4725</c:v>
                </c:pt>
                <c:pt idx="17">
                  <c:v>142.97250000000003</c:v>
                </c:pt>
                <c:pt idx="18">
                  <c:v>192.46699999999998</c:v>
                </c:pt>
                <c:pt idx="19">
                  <c:v>170.47250000000003</c:v>
                </c:pt>
                <c:pt idx="20">
                  <c:v>115.4725</c:v>
                </c:pt>
                <c:pt idx="21">
                  <c:v>159.48349999999999</c:v>
                </c:pt>
                <c:pt idx="22">
                  <c:v>175.97800000000001</c:v>
                </c:pt>
                <c:pt idx="23">
                  <c:v>170.4615</c:v>
                </c:pt>
                <c:pt idx="24">
                  <c:v>153.97800000000001</c:v>
                </c:pt>
                <c:pt idx="25">
                  <c:v>126.4725</c:v>
                </c:pt>
                <c:pt idx="26">
                  <c:v>142.97250000000003</c:v>
                </c:pt>
                <c:pt idx="27">
                  <c:v>192.46699999999998</c:v>
                </c:pt>
                <c:pt idx="28">
                  <c:v>170.47250000000003</c:v>
                </c:pt>
                <c:pt idx="29">
                  <c:v>115.4725</c:v>
                </c:pt>
                <c:pt idx="30">
                  <c:v>159.48349999999999</c:v>
                </c:pt>
                <c:pt idx="31">
                  <c:v>172.30033333333333</c:v>
                </c:pt>
                <c:pt idx="32">
                  <c:v>175.97800000000001</c:v>
                </c:pt>
                <c:pt idx="33">
                  <c:v>164.96700000000001</c:v>
                </c:pt>
                <c:pt idx="34">
                  <c:v>131.97799999999998</c:v>
                </c:pt>
              </c:numCache>
            </c:numRef>
          </c:val>
          <c:smooth val="0"/>
          <c:extLst>
            <c:ext xmlns:c16="http://schemas.microsoft.com/office/drawing/2014/chart" uri="{C3380CC4-5D6E-409C-BE32-E72D297353CC}">
              <c16:uniqueId val="{00000000-0513-4D79-9EED-05FEB664F94E}"/>
            </c:ext>
          </c:extLst>
        </c:ser>
        <c:ser>
          <c:idx val="1"/>
          <c:order val="1"/>
          <c:tx>
            <c:strRef>
              <c:f>'FORECAST(Total USD)'!$C$1</c:f>
              <c:strCache>
                <c:ptCount val="1"/>
                <c:pt idx="0">
                  <c:v>Forecast(Total_(USD))</c:v>
                </c:pt>
              </c:strCache>
            </c:strRef>
          </c:tx>
          <c:spPr>
            <a:ln w="25400"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numRef>
              <c:f>'FORECAST(Total USD)'!$A$2:$A$62</c:f>
              <c:numCache>
                <c:formatCode>m/d/yyyy</c:formatCode>
                <c:ptCount val="61"/>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numCache>
            </c:numRef>
          </c:cat>
          <c:val>
            <c:numRef>
              <c:f>'FORECAST(Total USD)'!$C$2:$C$62</c:f>
              <c:numCache>
                <c:formatCode>General</c:formatCode>
                <c:ptCount val="61"/>
                <c:pt idx="34">
                  <c:v>131.97799999999998</c:v>
                </c:pt>
                <c:pt idx="35">
                  <c:v>179.85901615638565</c:v>
                </c:pt>
                <c:pt idx="36">
                  <c:v>180.12886220013593</c:v>
                </c:pt>
                <c:pt idx="37">
                  <c:v>156.65191246122828</c:v>
                </c:pt>
                <c:pt idx="38">
                  <c:v>133.29903177197008</c:v>
                </c:pt>
                <c:pt idx="39">
                  <c:v>181.14170251000692</c:v>
                </c:pt>
                <c:pt idx="40">
                  <c:v>181.4115485537572</c:v>
                </c:pt>
                <c:pt idx="41">
                  <c:v>157.93459881484955</c:v>
                </c:pt>
                <c:pt idx="42">
                  <c:v>134.58171812559135</c:v>
                </c:pt>
                <c:pt idx="43">
                  <c:v>182.4243888636282</c:v>
                </c:pt>
                <c:pt idx="44">
                  <c:v>182.69423490737847</c:v>
                </c:pt>
                <c:pt idx="45">
                  <c:v>159.21728516847082</c:v>
                </c:pt>
                <c:pt idx="46">
                  <c:v>135.86440447921262</c:v>
                </c:pt>
                <c:pt idx="47">
                  <c:v>183.70707521724947</c:v>
                </c:pt>
                <c:pt idx="48">
                  <c:v>183.97692126099975</c:v>
                </c:pt>
                <c:pt idx="49">
                  <c:v>160.4999715220921</c:v>
                </c:pt>
                <c:pt idx="50">
                  <c:v>137.1470908328339</c:v>
                </c:pt>
                <c:pt idx="51">
                  <c:v>184.98976157087074</c:v>
                </c:pt>
                <c:pt idx="52">
                  <c:v>185.25960761462102</c:v>
                </c:pt>
                <c:pt idx="53">
                  <c:v>161.78265787571337</c:v>
                </c:pt>
                <c:pt idx="54">
                  <c:v>138.42977718645517</c:v>
                </c:pt>
                <c:pt idx="55">
                  <c:v>186.27244792449201</c:v>
                </c:pt>
                <c:pt idx="56">
                  <c:v>186.54229396824229</c:v>
                </c:pt>
                <c:pt idx="57">
                  <c:v>163.06534422933464</c:v>
                </c:pt>
                <c:pt idx="58">
                  <c:v>139.71246354007644</c:v>
                </c:pt>
                <c:pt idx="59">
                  <c:v>187.55513427811329</c:v>
                </c:pt>
                <c:pt idx="60">
                  <c:v>187.82498032186356</c:v>
                </c:pt>
              </c:numCache>
            </c:numRef>
          </c:val>
          <c:smooth val="0"/>
          <c:extLst>
            <c:ext xmlns:c16="http://schemas.microsoft.com/office/drawing/2014/chart" uri="{C3380CC4-5D6E-409C-BE32-E72D297353CC}">
              <c16:uniqueId val="{00000001-0513-4D79-9EED-05FEB664F94E}"/>
            </c:ext>
          </c:extLst>
        </c:ser>
        <c:ser>
          <c:idx val="2"/>
          <c:order val="2"/>
          <c:tx>
            <c:strRef>
              <c:f>'FORECAST(Total USD)'!$D$1</c:f>
              <c:strCache>
                <c:ptCount val="1"/>
                <c:pt idx="0">
                  <c:v>Lower Confidence Bound(Total_(USD))</c:v>
                </c:pt>
              </c:strCache>
            </c:strRef>
          </c:tx>
          <c:spPr>
            <a:ln w="12700" cap="rnd">
              <a:solidFill>
                <a:srgbClr val="E87331"/>
              </a:solidFill>
              <a:prstDash val="solid"/>
              <a:round/>
            </a:ln>
            <a:effectLst/>
          </c:spPr>
          <c:marker>
            <c:symbol val="none"/>
          </c:marker>
          <c:cat>
            <c:numRef>
              <c:f>'FORECAST(Total USD)'!$A$2:$A$62</c:f>
              <c:numCache>
                <c:formatCode>m/d/yyyy</c:formatCode>
                <c:ptCount val="61"/>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numCache>
            </c:numRef>
          </c:cat>
          <c:val>
            <c:numRef>
              <c:f>'FORECAST(Total USD)'!$D$2:$D$62</c:f>
              <c:numCache>
                <c:formatCode>General</c:formatCode>
                <c:ptCount val="61"/>
                <c:pt idx="34" formatCode="0.00">
                  <c:v>131.97799999999998</c:v>
                </c:pt>
                <c:pt idx="35" formatCode="0.00">
                  <c:v>110.45047195301582</c:v>
                </c:pt>
                <c:pt idx="36" formatCode="0.00">
                  <c:v>108.56730670762086</c:v>
                </c:pt>
                <c:pt idx="37" formatCode="0.00">
                  <c:v>82.983807651699451</c:v>
                </c:pt>
                <c:pt idx="38" formatCode="0.00">
                  <c:v>57.566898772288937</c:v>
                </c:pt>
                <c:pt idx="39" formatCode="0.00">
                  <c:v>78.273580085821507</c:v>
                </c:pt>
                <c:pt idx="40" formatCode="0.00">
                  <c:v>77.031897566242236</c:v>
                </c:pt>
                <c:pt idx="41" formatCode="0.00">
                  <c:v>52.053371793795549</c:v>
                </c:pt>
                <c:pt idx="42" formatCode="0.00">
                  <c:v>27.208405185201713</c:v>
                </c:pt>
                <c:pt idx="43" formatCode="0.00">
                  <c:v>54.30625570481871</c:v>
                </c:pt>
                <c:pt idx="44" formatCode="0.00">
                  <c:v>53.321046619039492</c:v>
                </c:pt>
                <c:pt idx="45" formatCode="0.00">
                  <c:v>28.591529828798429</c:v>
                </c:pt>
                <c:pt idx="46" formatCode="0.00">
                  <c:v>3.9884627396356791</c:v>
                </c:pt>
                <c:pt idx="47" formatCode="0.00">
                  <c:v>34.323746316786355</c:v>
                </c:pt>
                <c:pt idx="48" formatCode="0.00">
                  <c:v>33.482390485821384</c:v>
                </c:pt>
                <c:pt idx="49" formatCode="0.00">
                  <c:v>8.894010294161717</c:v>
                </c:pt>
                <c:pt idx="50" formatCode="0.00">
                  <c:v>-15.570555980777016</c:v>
                </c:pt>
                <c:pt idx="51" formatCode="0.00">
                  <c:v>16.805826592458544</c:v>
                </c:pt>
                <c:pt idx="52" formatCode="0.00">
                  <c:v>16.057734036880078</c:v>
                </c:pt>
                <c:pt idx="53" formatCode="0.00">
                  <c:v>-8.4386376390587543</c:v>
                </c:pt>
                <c:pt idx="54" formatCode="0.00">
                  <c:v>-32.812425244614587</c:v>
                </c:pt>
                <c:pt idx="55" formatCode="0.00">
                  <c:v>0.99901813947388973</c:v>
                </c:pt>
                <c:pt idx="56" formatCode="0.00">
                  <c:v>0.31649237053341039</c:v>
                </c:pt>
                <c:pt idx="57" formatCode="0.00">
                  <c:v>-24.114971254417554</c:v>
                </c:pt>
                <c:pt idx="58" formatCode="0.00">
                  <c:v>-48.424500906199683</c:v>
                </c:pt>
                <c:pt idx="59" formatCode="0.00">
                  <c:v>-13.534942547464567</c:v>
                </c:pt>
                <c:pt idx="60" formatCode="0.00">
                  <c:v>-14.168945117998135</c:v>
                </c:pt>
              </c:numCache>
            </c:numRef>
          </c:val>
          <c:smooth val="0"/>
          <c:extLst>
            <c:ext xmlns:c16="http://schemas.microsoft.com/office/drawing/2014/chart" uri="{C3380CC4-5D6E-409C-BE32-E72D297353CC}">
              <c16:uniqueId val="{00000002-0513-4D79-9EED-05FEB664F94E}"/>
            </c:ext>
          </c:extLst>
        </c:ser>
        <c:ser>
          <c:idx val="3"/>
          <c:order val="3"/>
          <c:tx>
            <c:strRef>
              <c:f>'FORECAST(Total USD)'!$E$1</c:f>
              <c:strCache>
                <c:ptCount val="1"/>
                <c:pt idx="0">
                  <c:v>Upper Confidence Bound(Total_(USD))</c:v>
                </c:pt>
              </c:strCache>
            </c:strRef>
          </c:tx>
          <c:spPr>
            <a:ln w="12700" cap="rnd">
              <a:solidFill>
                <a:srgbClr val="E87331"/>
              </a:solidFill>
              <a:prstDash val="solid"/>
              <a:round/>
            </a:ln>
            <a:effectLst/>
          </c:spPr>
          <c:marker>
            <c:symbol val="none"/>
          </c:marker>
          <c:cat>
            <c:numRef>
              <c:f>'FORECAST(Total USD)'!$A$2:$A$62</c:f>
              <c:numCache>
                <c:formatCode>m/d/yyyy</c:formatCode>
                <c:ptCount val="61"/>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numCache>
            </c:numRef>
          </c:cat>
          <c:val>
            <c:numRef>
              <c:f>'FORECAST(Total USD)'!$E$2:$E$62</c:f>
              <c:numCache>
                <c:formatCode>General</c:formatCode>
                <c:ptCount val="61"/>
                <c:pt idx="34" formatCode="0.00">
                  <c:v>131.97799999999998</c:v>
                </c:pt>
                <c:pt idx="35" formatCode="0.00">
                  <c:v>249.26756035975546</c:v>
                </c:pt>
                <c:pt idx="36" formatCode="0.00">
                  <c:v>251.69041769265101</c:v>
                </c:pt>
                <c:pt idx="37" formatCode="0.00">
                  <c:v>230.32001727075709</c:v>
                </c:pt>
                <c:pt idx="38" formatCode="0.00">
                  <c:v>209.03116477165122</c:v>
                </c:pt>
                <c:pt idx="39" formatCode="0.00">
                  <c:v>284.00982493419235</c:v>
                </c:pt>
                <c:pt idx="40" formatCode="0.00">
                  <c:v>285.79119954127214</c:v>
                </c:pt>
                <c:pt idx="41" formatCode="0.00">
                  <c:v>263.81582583590352</c:v>
                </c:pt>
                <c:pt idx="42" formatCode="0.00">
                  <c:v>241.95503106598099</c:v>
                </c:pt>
                <c:pt idx="43" formatCode="0.00">
                  <c:v>310.54252202243765</c:v>
                </c:pt>
                <c:pt idx="44" formatCode="0.00">
                  <c:v>312.06742319571742</c:v>
                </c:pt>
                <c:pt idx="45" formatCode="0.00">
                  <c:v>289.84304050814319</c:v>
                </c:pt>
                <c:pt idx="46" formatCode="0.00">
                  <c:v>267.74034621878957</c:v>
                </c:pt>
                <c:pt idx="47" formatCode="0.00">
                  <c:v>333.09040411771258</c:v>
                </c:pt>
                <c:pt idx="48" formatCode="0.00">
                  <c:v>334.47145203617811</c:v>
                </c:pt>
                <c:pt idx="49" formatCode="0.00">
                  <c:v>312.10593275002248</c:v>
                </c:pt>
                <c:pt idx="50" formatCode="0.00">
                  <c:v>289.86473764644484</c:v>
                </c:pt>
                <c:pt idx="51" formatCode="0.00">
                  <c:v>353.17369654928291</c:v>
                </c:pt>
                <c:pt idx="52" formatCode="0.00">
                  <c:v>354.46148119236193</c:v>
                </c:pt>
                <c:pt idx="53" formatCode="0.00">
                  <c:v>332.00395339048549</c:v>
                </c:pt>
                <c:pt idx="54" formatCode="0.00">
                  <c:v>309.67197961752493</c:v>
                </c:pt>
                <c:pt idx="55" formatCode="0.00">
                  <c:v>371.54587770951014</c:v>
                </c:pt>
                <c:pt idx="56" formatCode="0.00">
                  <c:v>372.76809556595117</c:v>
                </c:pt>
                <c:pt idx="57" formatCode="0.00">
                  <c:v>350.24565971308687</c:v>
                </c:pt>
                <c:pt idx="58" formatCode="0.00">
                  <c:v>327.84942798635257</c:v>
                </c:pt>
                <c:pt idx="59" formatCode="0.00">
                  <c:v>388.64521110369117</c:v>
                </c:pt>
                <c:pt idx="60" formatCode="0.00">
                  <c:v>389.81890576172526</c:v>
                </c:pt>
              </c:numCache>
            </c:numRef>
          </c:val>
          <c:smooth val="0"/>
          <c:extLst>
            <c:ext xmlns:c16="http://schemas.microsoft.com/office/drawing/2014/chart" uri="{C3380CC4-5D6E-409C-BE32-E72D297353CC}">
              <c16:uniqueId val="{00000003-0513-4D79-9EED-05FEB664F94E}"/>
            </c:ext>
          </c:extLst>
        </c:ser>
        <c:dLbls>
          <c:showLegendKey val="0"/>
          <c:showVal val="0"/>
          <c:showCatName val="0"/>
          <c:showSerName val="0"/>
          <c:showPercent val="0"/>
          <c:showBubbleSize val="0"/>
        </c:dLbls>
        <c:smooth val="0"/>
        <c:axId val="335642704"/>
        <c:axId val="335643360"/>
      </c:lineChart>
      <c:catAx>
        <c:axId val="335642704"/>
        <c:scaling>
          <c:orientation val="minMax"/>
        </c:scaling>
        <c:delete val="1"/>
        <c:axPos val="b"/>
        <c:majorTickMark val="none"/>
        <c:minorTickMark val="none"/>
        <c:tickLblPos val="low"/>
        <c:crossAx val="335643360"/>
        <c:crosses val="autoZero"/>
        <c:auto val="1"/>
        <c:lblAlgn val="ctr"/>
        <c:lblOffset val="100"/>
        <c:noMultiLvlLbl val="0"/>
      </c:catAx>
      <c:valAx>
        <c:axId val="335643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6427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FORECAST(Retail_price)</a:t>
            </a:r>
          </a:p>
        </c:rich>
      </c:tx>
      <c:layout>
        <c:manualLayout>
          <c:xMode val="edge"/>
          <c:yMode val="edge"/>
          <c:x val="0.43572292792669209"/>
          <c:y val="2.185792349726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'FORECAST(Retail_price)'!$B$1</c:f>
              <c:strCache>
                <c:ptCount val="1"/>
                <c:pt idx="0">
                  <c:v>Retail_Price(USD)</c:v>
                </c:pt>
              </c:strCache>
            </c:strRef>
          </c:tx>
          <c:spPr>
            <a:ln w="28575" cap="rnd">
              <a:solidFill>
                <a:schemeClr val="accent1"/>
              </a:solidFill>
              <a:round/>
            </a:ln>
            <a:effectLst/>
          </c:spPr>
          <c:marker>
            <c:symbol val="none"/>
          </c:marker>
          <c:val>
            <c:numRef>
              <c:f>'FORECAST(Retail_price)'!$B$2:$B$62</c:f>
              <c:numCache>
                <c:formatCode>General</c:formatCode>
                <c:ptCount val="61"/>
                <c:pt idx="0">
                  <c:v>39.99</c:v>
                </c:pt>
                <c:pt idx="1">
                  <c:v>59.989999999999995</c:v>
                </c:pt>
                <c:pt idx="2">
                  <c:v>114.99000000000001</c:v>
                </c:pt>
                <c:pt idx="3">
                  <c:v>54.989999999999995</c:v>
                </c:pt>
                <c:pt idx="4">
                  <c:v>144.99</c:v>
                </c:pt>
                <c:pt idx="5">
                  <c:v>54.989999999999995</c:v>
                </c:pt>
                <c:pt idx="6">
                  <c:v>89.990000000000009</c:v>
                </c:pt>
                <c:pt idx="7">
                  <c:v>84.990000000000009</c:v>
                </c:pt>
                <c:pt idx="8">
                  <c:v>54.989999999999995</c:v>
                </c:pt>
                <c:pt idx="9">
                  <c:v>114.99000000000001</c:v>
                </c:pt>
                <c:pt idx="10">
                  <c:v>64.989999999999995</c:v>
                </c:pt>
                <c:pt idx="11">
                  <c:v>74.990000000000009</c:v>
                </c:pt>
                <c:pt idx="12">
                  <c:v>109.99000000000001</c:v>
                </c:pt>
                <c:pt idx="13">
                  <c:v>119.99000000000001</c:v>
                </c:pt>
                <c:pt idx="14">
                  <c:v>54.989999999999995</c:v>
                </c:pt>
                <c:pt idx="15">
                  <c:v>89.990000000000009</c:v>
                </c:pt>
                <c:pt idx="16">
                  <c:v>84.990000000000009</c:v>
                </c:pt>
                <c:pt idx="17">
                  <c:v>54.989999999999995</c:v>
                </c:pt>
                <c:pt idx="18">
                  <c:v>114.99000000000001</c:v>
                </c:pt>
                <c:pt idx="19">
                  <c:v>64.989999999999995</c:v>
                </c:pt>
                <c:pt idx="20">
                  <c:v>74.990000000000009</c:v>
                </c:pt>
                <c:pt idx="21">
                  <c:v>109.99000000000001</c:v>
                </c:pt>
                <c:pt idx="22">
                  <c:v>119.99000000000001</c:v>
                </c:pt>
                <c:pt idx="23">
                  <c:v>54.989999999999995</c:v>
                </c:pt>
                <c:pt idx="24">
                  <c:v>89.990000000000009</c:v>
                </c:pt>
                <c:pt idx="25">
                  <c:v>84.990000000000009</c:v>
                </c:pt>
                <c:pt idx="26">
                  <c:v>54.989999999999995</c:v>
                </c:pt>
                <c:pt idx="27">
                  <c:v>114.99000000000001</c:v>
                </c:pt>
                <c:pt idx="28">
                  <c:v>64.989999999999995</c:v>
                </c:pt>
                <c:pt idx="29">
                  <c:v>74.990000000000009</c:v>
                </c:pt>
                <c:pt idx="30">
                  <c:v>109.99000000000001</c:v>
                </c:pt>
                <c:pt idx="31">
                  <c:v>89.990000000000009</c:v>
                </c:pt>
                <c:pt idx="32">
                  <c:v>79.989999999999995</c:v>
                </c:pt>
                <c:pt idx="33">
                  <c:v>49.99</c:v>
                </c:pt>
                <c:pt idx="34">
                  <c:v>99.990000000000009</c:v>
                </c:pt>
              </c:numCache>
            </c:numRef>
          </c:val>
          <c:smooth val="0"/>
          <c:extLst>
            <c:ext xmlns:c16="http://schemas.microsoft.com/office/drawing/2014/chart" uri="{C3380CC4-5D6E-409C-BE32-E72D297353CC}">
              <c16:uniqueId val="{00000000-9324-412F-97E6-E2B2F6D825EA}"/>
            </c:ext>
          </c:extLst>
        </c:ser>
        <c:ser>
          <c:idx val="1"/>
          <c:order val="1"/>
          <c:tx>
            <c:strRef>
              <c:f>'FORECAST(Retail_price)'!$C$1</c:f>
              <c:strCache>
                <c:ptCount val="1"/>
                <c:pt idx="0">
                  <c:v>Forecast(Retail_Price(USD))</c:v>
                </c:pt>
              </c:strCache>
            </c:strRef>
          </c:tx>
          <c:spPr>
            <a:ln w="25400"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numRef>
              <c:f>'FORECAST(Retail_price)'!$A$2:$A$62</c:f>
              <c:numCache>
                <c:formatCode>m/d/yyyy</c:formatCode>
                <c:ptCount val="61"/>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numCache>
            </c:numRef>
          </c:cat>
          <c:val>
            <c:numRef>
              <c:f>'FORECAST(Retail_price)'!$C$2:$C$62</c:f>
              <c:numCache>
                <c:formatCode>General</c:formatCode>
                <c:ptCount val="61"/>
                <c:pt idx="34">
                  <c:v>99.990000000000009</c:v>
                </c:pt>
                <c:pt idx="35">
                  <c:v>83.963685326508326</c:v>
                </c:pt>
                <c:pt idx="36">
                  <c:v>84.239876852333822</c:v>
                </c:pt>
                <c:pt idx="37">
                  <c:v>84.516068378159261</c:v>
                </c:pt>
                <c:pt idx="38">
                  <c:v>84.792259903984757</c:v>
                </c:pt>
                <c:pt idx="39">
                  <c:v>85.068451429810196</c:v>
                </c:pt>
                <c:pt idx="40">
                  <c:v>85.344642955635706</c:v>
                </c:pt>
                <c:pt idx="41">
                  <c:v>85.620834481461145</c:v>
                </c:pt>
                <c:pt idx="42">
                  <c:v>85.897026007286641</c:v>
                </c:pt>
                <c:pt idx="43">
                  <c:v>86.17321753311208</c:v>
                </c:pt>
                <c:pt idx="44">
                  <c:v>86.449409058937576</c:v>
                </c:pt>
                <c:pt idx="45">
                  <c:v>86.725600584763015</c:v>
                </c:pt>
                <c:pt idx="46">
                  <c:v>87.001792110588511</c:v>
                </c:pt>
                <c:pt idx="47">
                  <c:v>87.27798363641395</c:v>
                </c:pt>
                <c:pt idx="48">
                  <c:v>87.554175162239446</c:v>
                </c:pt>
                <c:pt idx="49">
                  <c:v>87.830366688064885</c:v>
                </c:pt>
                <c:pt idx="50">
                  <c:v>88.106558213890381</c:v>
                </c:pt>
                <c:pt idx="51">
                  <c:v>88.38274973971582</c:v>
                </c:pt>
                <c:pt idx="52">
                  <c:v>88.65894126554133</c:v>
                </c:pt>
                <c:pt idx="53">
                  <c:v>88.935132791366769</c:v>
                </c:pt>
                <c:pt idx="54">
                  <c:v>89.211324317192265</c:v>
                </c:pt>
                <c:pt idx="55">
                  <c:v>89.487515843017704</c:v>
                </c:pt>
                <c:pt idx="56">
                  <c:v>89.7637073688432</c:v>
                </c:pt>
                <c:pt idx="57">
                  <c:v>90.039898894668639</c:v>
                </c:pt>
                <c:pt idx="58">
                  <c:v>90.316090420494135</c:v>
                </c:pt>
                <c:pt idx="59">
                  <c:v>90.592281946319574</c:v>
                </c:pt>
                <c:pt idx="60">
                  <c:v>90.86847347214507</c:v>
                </c:pt>
              </c:numCache>
            </c:numRef>
          </c:val>
          <c:smooth val="0"/>
          <c:extLst>
            <c:ext xmlns:c16="http://schemas.microsoft.com/office/drawing/2014/chart" uri="{C3380CC4-5D6E-409C-BE32-E72D297353CC}">
              <c16:uniqueId val="{00000001-9324-412F-97E6-E2B2F6D825EA}"/>
            </c:ext>
          </c:extLst>
        </c:ser>
        <c:ser>
          <c:idx val="2"/>
          <c:order val="2"/>
          <c:tx>
            <c:strRef>
              <c:f>'FORECAST(Retail_price)'!$D$1</c:f>
              <c:strCache>
                <c:ptCount val="1"/>
                <c:pt idx="0">
                  <c:v>Lower Confidence Bound(Retail_Price(USD))</c:v>
                </c:pt>
              </c:strCache>
            </c:strRef>
          </c:tx>
          <c:spPr>
            <a:ln w="12700" cap="rnd">
              <a:solidFill>
                <a:srgbClr val="E87331"/>
              </a:solidFill>
              <a:prstDash val="solid"/>
              <a:round/>
            </a:ln>
            <a:effectLst/>
          </c:spPr>
          <c:marker>
            <c:symbol val="none"/>
          </c:marker>
          <c:cat>
            <c:numRef>
              <c:f>'FORECAST(Retail_price)'!$A$2:$A$62</c:f>
              <c:numCache>
                <c:formatCode>m/d/yyyy</c:formatCode>
                <c:ptCount val="61"/>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numCache>
            </c:numRef>
          </c:cat>
          <c:val>
            <c:numRef>
              <c:f>'FORECAST(Retail_price)'!$D$2:$D$62</c:f>
              <c:numCache>
                <c:formatCode>General</c:formatCode>
                <c:ptCount val="61"/>
                <c:pt idx="34" formatCode="0.00">
                  <c:v>99.990000000000009</c:v>
                </c:pt>
                <c:pt idx="35" formatCode="0.00">
                  <c:v>24.732223408047851</c:v>
                </c:pt>
                <c:pt idx="36" formatCode="0.00">
                  <c:v>23.171090615279866</c:v>
                </c:pt>
                <c:pt idx="37" formatCode="0.00">
                  <c:v>21.649607271503271</c:v>
                </c:pt>
                <c:pt idx="38" formatCode="0.00">
                  <c:v>20.164410360979744</c:v>
                </c:pt>
                <c:pt idx="39" formatCode="0.00">
                  <c:v>18.712557323597125</c:v>
                </c:pt>
                <c:pt idx="40" formatCode="0.00">
                  <c:v>17.291456497896192</c:v>
                </c:pt>
                <c:pt idx="41" formatCode="0.00">
                  <c:v>15.898811658423739</c:v>
                </c:pt>
                <c:pt idx="42" formatCode="0.00">
                  <c:v>14.532577310333991</c:v>
                </c:pt>
                <c:pt idx="43" formatCode="0.00">
                  <c:v>13.190922299024379</c:v>
                </c:pt>
                <c:pt idx="44" formatCode="0.00">
                  <c:v>11.872199921594756</c:v>
                </c:pt>
                <c:pt idx="45" formatCode="0.00">
                  <c:v>10.574923176151373</c:v>
                </c:pt>
                <c:pt idx="46" formatCode="0.00">
                  <c:v>9.2977441105383178</c:v>
                </c:pt>
                <c:pt idx="47" formatCode="0.00">
                  <c:v>8.039436471172877</c:v>
                </c:pt>
                <c:pt idx="48" formatCode="0.00">
                  <c:v>6.7988810304322982</c:v>
                </c:pt>
                <c:pt idx="49" formatCode="0.00">
                  <c:v>5.575053104710733</c:v>
                </c:pt>
                <c:pt idx="50" formatCode="0.00">
                  <c:v>4.3670118768459361</c:v>
                </c:pt>
                <c:pt idx="51" formatCode="0.00">
                  <c:v>3.1738912145536062</c:v>
                </c:pt>
                <c:pt idx="52" formatCode="0.00">
                  <c:v>1.99489173686203</c:v>
                </c:pt>
                <c:pt idx="53" formatCode="0.00">
                  <c:v>0.82927392766248431</c:v>
                </c:pt>
                <c:pt idx="54" formatCode="0.00">
                  <c:v>-0.3236478674132286</c:v>
                </c:pt>
                <c:pt idx="55" formatCode="0.00">
                  <c:v>-1.4645106951680162</c:v>
                </c:pt>
                <c:pt idx="56" formatCode="0.00">
                  <c:v>-2.5939076109591497</c:v>
                </c:pt>
                <c:pt idx="57" formatCode="0.00">
                  <c:v>-3.7123917487816271</c:v>
                </c:pt>
                <c:pt idx="58" formatCode="0.00">
                  <c:v>-4.8204799220648482</c:v>
                </c:pt>
                <c:pt idx="59" formatCode="0.00">
                  <c:v>-5.9186558195196142</c:v>
                </c:pt>
                <c:pt idx="60" formatCode="0.00">
                  <c:v>-7.0073728502094497</c:v>
                </c:pt>
              </c:numCache>
            </c:numRef>
          </c:val>
          <c:smooth val="0"/>
          <c:extLst>
            <c:ext xmlns:c16="http://schemas.microsoft.com/office/drawing/2014/chart" uri="{C3380CC4-5D6E-409C-BE32-E72D297353CC}">
              <c16:uniqueId val="{00000002-9324-412F-97E6-E2B2F6D825EA}"/>
            </c:ext>
          </c:extLst>
        </c:ser>
        <c:ser>
          <c:idx val="3"/>
          <c:order val="3"/>
          <c:tx>
            <c:strRef>
              <c:f>'FORECAST(Retail_price)'!$E$1</c:f>
              <c:strCache>
                <c:ptCount val="1"/>
                <c:pt idx="0">
                  <c:v>Upper Confidence Bound(Retail_Price(USD))</c:v>
                </c:pt>
              </c:strCache>
            </c:strRef>
          </c:tx>
          <c:spPr>
            <a:ln w="12700" cap="rnd">
              <a:solidFill>
                <a:srgbClr val="E87331"/>
              </a:solidFill>
              <a:prstDash val="solid"/>
              <a:round/>
            </a:ln>
            <a:effectLst/>
          </c:spPr>
          <c:marker>
            <c:symbol val="none"/>
          </c:marker>
          <c:cat>
            <c:numRef>
              <c:f>'FORECAST(Retail_price)'!$A$2:$A$62</c:f>
              <c:numCache>
                <c:formatCode>m/d/yyyy</c:formatCode>
                <c:ptCount val="61"/>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numCache>
            </c:numRef>
          </c:cat>
          <c:val>
            <c:numRef>
              <c:f>'FORECAST(Retail_price)'!$E$2:$E$62</c:f>
              <c:numCache>
                <c:formatCode>General</c:formatCode>
                <c:ptCount val="61"/>
                <c:pt idx="34" formatCode="0.00">
                  <c:v>99.990000000000009</c:v>
                </c:pt>
                <c:pt idx="35" formatCode="0.00">
                  <c:v>143.19514724496881</c:v>
                </c:pt>
                <c:pt idx="36" formatCode="0.00">
                  <c:v>145.30866308938778</c:v>
                </c:pt>
                <c:pt idx="37" formatCode="0.00">
                  <c:v>147.38252948481525</c:v>
                </c:pt>
                <c:pt idx="38" formatCode="0.00">
                  <c:v>149.42010944698978</c:v>
                </c:pt>
                <c:pt idx="39" formatCode="0.00">
                  <c:v>151.42434553602328</c:v>
                </c:pt>
                <c:pt idx="40" formatCode="0.00">
                  <c:v>153.39782941337523</c:v>
                </c:pt>
                <c:pt idx="41" formatCode="0.00">
                  <c:v>155.34285730449855</c:v>
                </c:pt>
                <c:pt idx="42" formatCode="0.00">
                  <c:v>157.26147470423928</c:v>
                </c:pt>
                <c:pt idx="43" formatCode="0.00">
                  <c:v>159.15551276719978</c:v>
                </c:pt>
                <c:pt idx="44" formatCode="0.00">
                  <c:v>161.0266181962804</c:v>
                </c:pt>
                <c:pt idx="45" formatCode="0.00">
                  <c:v>162.87627799337466</c:v>
                </c:pt>
                <c:pt idx="46" formatCode="0.00">
                  <c:v>164.70584011063869</c:v>
                </c:pt>
                <c:pt idx="47" formatCode="0.00">
                  <c:v>166.51653080165502</c:v>
                </c:pt>
                <c:pt idx="48" formatCode="0.00">
                  <c:v>168.30946929404661</c:v>
                </c:pt>
                <c:pt idx="49" formatCode="0.00">
                  <c:v>170.08568027141905</c:v>
                </c:pt>
                <c:pt idx="50" formatCode="0.00">
                  <c:v>171.84610455093483</c:v>
                </c:pt>
                <c:pt idx="51" formatCode="0.00">
                  <c:v>173.59160826487803</c:v>
                </c:pt>
                <c:pt idx="52" formatCode="0.00">
                  <c:v>175.32299079422063</c:v>
                </c:pt>
                <c:pt idx="53" formatCode="0.00">
                  <c:v>177.04099165507105</c:v>
                </c:pt>
                <c:pt idx="54" formatCode="0.00">
                  <c:v>178.74629650179776</c:v>
                </c:pt>
                <c:pt idx="55" formatCode="0.00">
                  <c:v>180.43954238120341</c:v>
                </c:pt>
                <c:pt idx="56" formatCode="0.00">
                  <c:v>182.12132234864555</c:v>
                </c:pt>
                <c:pt idx="57" formatCode="0.00">
                  <c:v>183.79218953811892</c:v>
                </c:pt>
                <c:pt idx="58" formatCode="0.00">
                  <c:v>185.45266076305313</c:v>
                </c:pt>
                <c:pt idx="59" formatCode="0.00">
                  <c:v>187.10321971215876</c:v>
                </c:pt>
                <c:pt idx="60" formatCode="0.00">
                  <c:v>188.74431979449957</c:v>
                </c:pt>
              </c:numCache>
            </c:numRef>
          </c:val>
          <c:smooth val="0"/>
          <c:extLst>
            <c:ext xmlns:c16="http://schemas.microsoft.com/office/drawing/2014/chart" uri="{C3380CC4-5D6E-409C-BE32-E72D297353CC}">
              <c16:uniqueId val="{00000003-9324-412F-97E6-E2B2F6D825EA}"/>
            </c:ext>
          </c:extLst>
        </c:ser>
        <c:dLbls>
          <c:showLegendKey val="0"/>
          <c:showVal val="0"/>
          <c:showCatName val="0"/>
          <c:showSerName val="0"/>
          <c:showPercent val="0"/>
          <c:showBubbleSize val="0"/>
        </c:dLbls>
        <c:smooth val="0"/>
        <c:axId val="530258488"/>
        <c:axId val="530253568"/>
      </c:lineChart>
      <c:catAx>
        <c:axId val="530258488"/>
        <c:scaling>
          <c:orientation val="minMax"/>
        </c:scaling>
        <c:delete val="1"/>
        <c:axPos val="b"/>
        <c:majorTickMark val="none"/>
        <c:minorTickMark val="none"/>
        <c:tickLblPos val="low"/>
        <c:crossAx val="530253568"/>
        <c:crosses val="autoZero"/>
        <c:auto val="1"/>
        <c:lblAlgn val="ctr"/>
        <c:lblOffset val="100"/>
        <c:noMultiLvlLbl val="0"/>
      </c:catAx>
      <c:valAx>
        <c:axId val="53025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02584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FORECAST(Oder_Quantity)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'FORECAST(Oder_Quantity)'!$B$1</c:f>
              <c:strCache>
                <c:ptCount val="1"/>
                <c:pt idx="0">
                  <c:v>Order_Quantity</c:v>
                </c:pt>
              </c:strCache>
            </c:strRef>
          </c:tx>
          <c:spPr>
            <a:ln w="28575" cap="rnd">
              <a:solidFill>
                <a:schemeClr val="accent1"/>
              </a:solidFill>
              <a:round/>
            </a:ln>
            <a:effectLst/>
          </c:spPr>
          <c:marker>
            <c:symbol val="none"/>
          </c:marker>
          <c:val>
            <c:numRef>
              <c:f>'FORECAST(Oder_Quantity)'!$B$2:$B$62</c:f>
              <c:numCache>
                <c:formatCode>0.00</c:formatCode>
                <c:ptCount val="61"/>
                <c:pt idx="0">
                  <c:v>1.5</c:v>
                </c:pt>
                <c:pt idx="1">
                  <c:v>3.5</c:v>
                </c:pt>
                <c:pt idx="2">
                  <c:v>1.5</c:v>
                </c:pt>
                <c:pt idx="3">
                  <c:v>2.5</c:v>
                </c:pt>
                <c:pt idx="4">
                  <c:v>1</c:v>
                </c:pt>
                <c:pt idx="5">
                  <c:v>3.5</c:v>
                </c:pt>
                <c:pt idx="6">
                  <c:v>2</c:v>
                </c:pt>
                <c:pt idx="7">
                  <c:v>2.5</c:v>
                </c:pt>
                <c:pt idx="8">
                  <c:v>2.5</c:v>
                </c:pt>
                <c:pt idx="9">
                  <c:v>3</c:v>
                </c:pt>
                <c:pt idx="10">
                  <c:v>2.5</c:v>
                </c:pt>
                <c:pt idx="11">
                  <c:v>2.5</c:v>
                </c:pt>
                <c:pt idx="12">
                  <c:v>1.5</c:v>
                </c:pt>
                <c:pt idx="13">
                  <c:v>2</c:v>
                </c:pt>
                <c:pt idx="14">
                  <c:v>3.5</c:v>
                </c:pt>
                <c:pt idx="15">
                  <c:v>2</c:v>
                </c:pt>
                <c:pt idx="16">
                  <c:v>2.5</c:v>
                </c:pt>
                <c:pt idx="17">
                  <c:v>2.5</c:v>
                </c:pt>
                <c:pt idx="18">
                  <c:v>3</c:v>
                </c:pt>
                <c:pt idx="19">
                  <c:v>2.5</c:v>
                </c:pt>
                <c:pt idx="20">
                  <c:v>2.5</c:v>
                </c:pt>
                <c:pt idx="21">
                  <c:v>1.5</c:v>
                </c:pt>
                <c:pt idx="22">
                  <c:v>2</c:v>
                </c:pt>
                <c:pt idx="23">
                  <c:v>3.5</c:v>
                </c:pt>
                <c:pt idx="24">
                  <c:v>2</c:v>
                </c:pt>
                <c:pt idx="25">
                  <c:v>2.5</c:v>
                </c:pt>
                <c:pt idx="26">
                  <c:v>2.5</c:v>
                </c:pt>
                <c:pt idx="27">
                  <c:v>3</c:v>
                </c:pt>
                <c:pt idx="28">
                  <c:v>2.5</c:v>
                </c:pt>
                <c:pt idx="29">
                  <c:v>2.5</c:v>
                </c:pt>
                <c:pt idx="30">
                  <c:v>1.5</c:v>
                </c:pt>
                <c:pt idx="31">
                  <c:v>3</c:v>
                </c:pt>
                <c:pt idx="32">
                  <c:v>2</c:v>
                </c:pt>
                <c:pt idx="33">
                  <c:v>3</c:v>
                </c:pt>
                <c:pt idx="34">
                  <c:v>2</c:v>
                </c:pt>
              </c:numCache>
            </c:numRef>
          </c:val>
          <c:smooth val="0"/>
          <c:extLst>
            <c:ext xmlns:c16="http://schemas.microsoft.com/office/drawing/2014/chart" uri="{C3380CC4-5D6E-409C-BE32-E72D297353CC}">
              <c16:uniqueId val="{00000000-6461-43B1-92C0-41C0A2BB7A33}"/>
            </c:ext>
          </c:extLst>
        </c:ser>
        <c:ser>
          <c:idx val="1"/>
          <c:order val="1"/>
          <c:tx>
            <c:strRef>
              <c:f>'FORECAST(Oder_Quantity)'!$C$1</c:f>
              <c:strCache>
                <c:ptCount val="1"/>
                <c:pt idx="0">
                  <c:v>Forecast(Order_Quantity)</c:v>
                </c:pt>
              </c:strCache>
            </c:strRef>
          </c:tx>
          <c:spPr>
            <a:ln w="25400" cap="rnd">
              <a:solidFill>
                <a:schemeClr val="accent2"/>
              </a:solidFill>
              <a:round/>
            </a:ln>
            <a:effectLst/>
          </c:spPr>
          <c:marker>
            <c:symbol val="none"/>
          </c:marker>
          <c:trendline>
            <c:spPr>
              <a:ln w="19050" cap="rnd">
                <a:solidFill>
                  <a:schemeClr val="accent2"/>
                </a:solidFill>
                <a:prstDash val="sysDot"/>
              </a:ln>
              <a:effectLst/>
            </c:spPr>
            <c:trendlineType val="linear"/>
            <c:dispRSqr val="0"/>
            <c:dispEq val="0"/>
          </c:trendline>
          <c:cat>
            <c:numRef>
              <c:f>'FORECAST(Oder_Quantity)'!$A$2:$A$62</c:f>
              <c:numCache>
                <c:formatCode>m/d/yyyy</c:formatCode>
                <c:ptCount val="61"/>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numCache>
            </c:numRef>
          </c:cat>
          <c:val>
            <c:numRef>
              <c:f>'FORECAST(Oder_Quantity)'!$C$2:$C$62</c:f>
              <c:numCache>
                <c:formatCode>General</c:formatCode>
                <c:ptCount val="61"/>
                <c:pt idx="34" formatCode="0.00">
                  <c:v>2</c:v>
                </c:pt>
                <c:pt idx="35" formatCode="0.00">
                  <c:v>2.487500902290618</c:v>
                </c:pt>
                <c:pt idx="36" formatCode="0.00">
                  <c:v>2.497518004505705</c:v>
                </c:pt>
                <c:pt idx="37" formatCode="0.00">
                  <c:v>2.5075351067207952</c:v>
                </c:pt>
                <c:pt idx="38" formatCode="0.00">
                  <c:v>2.5175522089358817</c:v>
                </c:pt>
                <c:pt idx="39" formatCode="0.00">
                  <c:v>2.5275693111509723</c:v>
                </c:pt>
                <c:pt idx="40" formatCode="0.00">
                  <c:v>2.5375864133660588</c:v>
                </c:pt>
                <c:pt idx="41" formatCode="0.00">
                  <c:v>2.5476035155811489</c:v>
                </c:pt>
                <c:pt idx="42" formatCode="0.00">
                  <c:v>2.5576206177962355</c:v>
                </c:pt>
                <c:pt idx="43" formatCode="0.00">
                  <c:v>2.5676377200113261</c:v>
                </c:pt>
                <c:pt idx="44" formatCode="0.00">
                  <c:v>2.5776548222264126</c:v>
                </c:pt>
                <c:pt idx="45" formatCode="0.00">
                  <c:v>2.5876719244415027</c:v>
                </c:pt>
                <c:pt idx="46" formatCode="0.00">
                  <c:v>2.5976890266565897</c:v>
                </c:pt>
                <c:pt idx="47" formatCode="0.00">
                  <c:v>2.6077061288716799</c:v>
                </c:pt>
                <c:pt idx="48" formatCode="0.00">
                  <c:v>2.6177232310867664</c:v>
                </c:pt>
                <c:pt idx="49" formatCode="0.00">
                  <c:v>2.627740333301857</c:v>
                </c:pt>
                <c:pt idx="50" formatCode="0.00">
                  <c:v>2.6377574355169435</c:v>
                </c:pt>
                <c:pt idx="51" formatCode="0.00">
                  <c:v>2.6477745377320336</c:v>
                </c:pt>
                <c:pt idx="52" formatCode="0.00">
                  <c:v>2.6577916399471206</c:v>
                </c:pt>
                <c:pt idx="53" formatCode="0.00">
                  <c:v>2.6678087421622108</c:v>
                </c:pt>
                <c:pt idx="54" formatCode="0.00">
                  <c:v>2.6778258443772973</c:v>
                </c:pt>
                <c:pt idx="55" formatCode="0.00">
                  <c:v>2.6878429465923874</c:v>
                </c:pt>
                <c:pt idx="56" formatCode="0.00">
                  <c:v>2.6978600488074744</c:v>
                </c:pt>
                <c:pt idx="57" formatCode="0.00">
                  <c:v>2.7078771510225645</c:v>
                </c:pt>
                <c:pt idx="58" formatCode="0.00">
                  <c:v>2.7178942532376511</c:v>
                </c:pt>
                <c:pt idx="59" formatCode="0.00">
                  <c:v>2.7279113554527417</c:v>
                </c:pt>
                <c:pt idx="60" formatCode="0.00">
                  <c:v>2.7379284576678282</c:v>
                </c:pt>
              </c:numCache>
            </c:numRef>
          </c:val>
          <c:smooth val="0"/>
          <c:extLst>
            <c:ext xmlns:c16="http://schemas.microsoft.com/office/drawing/2014/chart" uri="{C3380CC4-5D6E-409C-BE32-E72D297353CC}">
              <c16:uniqueId val="{00000001-6461-43B1-92C0-41C0A2BB7A33}"/>
            </c:ext>
          </c:extLst>
        </c:ser>
        <c:ser>
          <c:idx val="2"/>
          <c:order val="2"/>
          <c:tx>
            <c:strRef>
              <c:f>'FORECAST(Oder_Quantity)'!$D$1</c:f>
              <c:strCache>
                <c:ptCount val="1"/>
                <c:pt idx="0">
                  <c:v>Lower Confidence Bound(Order_Quantity)</c:v>
                </c:pt>
              </c:strCache>
            </c:strRef>
          </c:tx>
          <c:spPr>
            <a:ln w="12700" cap="rnd">
              <a:solidFill>
                <a:srgbClr val="E87331"/>
              </a:solidFill>
              <a:prstDash val="solid"/>
              <a:round/>
            </a:ln>
            <a:effectLst/>
          </c:spPr>
          <c:marker>
            <c:symbol val="none"/>
          </c:marker>
          <c:cat>
            <c:numRef>
              <c:f>'FORECAST(Oder_Quantity)'!$A$2:$A$62</c:f>
              <c:numCache>
                <c:formatCode>m/d/yyyy</c:formatCode>
                <c:ptCount val="61"/>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numCache>
            </c:numRef>
          </c:cat>
          <c:val>
            <c:numRef>
              <c:f>'FORECAST(Oder_Quantity)'!$D$2:$D$62</c:f>
              <c:numCache>
                <c:formatCode>General</c:formatCode>
                <c:ptCount val="61"/>
                <c:pt idx="34" formatCode="0.00">
                  <c:v>2</c:v>
                </c:pt>
                <c:pt idx="35" formatCode="0.00">
                  <c:v>1.0798827411101521</c:v>
                </c:pt>
                <c:pt idx="36" formatCode="0.00">
                  <c:v>1.0785935142474854</c:v>
                </c:pt>
                <c:pt idx="37" formatCode="0.00">
                  <c:v>1.0772170355945228</c:v>
                </c:pt>
                <c:pt idx="38" formatCode="0.00">
                  <c:v>1.0757539993828429</c:v>
                </c:pt>
                <c:pt idx="39" formatCode="0.00">
                  <c:v>1.0742050934573391</c:v>
                </c:pt>
                <c:pt idx="40" formatCode="0.00">
                  <c:v>1.072570999121625</c:v>
                </c:pt>
                <c:pt idx="41" formatCode="0.00">
                  <c:v>1.0708523909996184</c:v>
                </c:pt>
                <c:pt idx="42" formatCode="0.00">
                  <c:v>1.0690499369123627</c:v>
                </c:pt>
                <c:pt idx="43" formatCode="0.00">
                  <c:v>1.0671642977694158</c:v>
                </c:pt>
                <c:pt idx="44" formatCode="0.00">
                  <c:v>1.0651961274739212</c:v>
                </c:pt>
                <c:pt idx="45" formatCode="0.00">
                  <c:v>1.0631460728407391</c:v>
                </c:pt>
                <c:pt idx="46" formatCode="0.00">
                  <c:v>1.0610147735268007</c:v>
                </c:pt>
                <c:pt idx="47" formatCode="0.00">
                  <c:v>1.0588028619731078</c:v>
                </c:pt>
                <c:pt idx="48" formatCode="0.00">
                  <c:v>1.0565109633576042</c:v>
                </c:pt>
                <c:pt idx="49" formatCode="0.00">
                  <c:v>1.0541396955583855</c:v>
                </c:pt>
                <c:pt idx="50" formatCode="0.00">
                  <c:v>1.0516896691265138</c:v>
                </c:pt>
                <c:pt idx="51" formatCode="0.00">
                  <c:v>1.0491614872679731</c:v>
                </c:pt>
                <c:pt idx="52" formatCode="0.00">
                  <c:v>1.0465557458340702</c:v>
                </c:pt>
                <c:pt idx="53" formatCode="0.00">
                  <c:v>1.0438730333198567</c:v>
                </c:pt>
                <c:pt idx="54" formatCode="0.00">
                  <c:v>1.0411139308699453</c:v>
                </c:pt>
                <c:pt idx="55" formatCode="0.00">
                  <c:v>1.038279012291327</c:v>
                </c:pt>
                <c:pt idx="56" formatCode="0.00">
                  <c:v>1.0353688440726103</c:v>
                </c:pt>
                <c:pt idx="57" formatCode="0.00">
                  <c:v>1.0323839854093371</c:v>
                </c:pt>
                <c:pt idx="58" formatCode="0.00">
                  <c:v>1.029324988234841</c:v>
                </c:pt>
                <c:pt idx="59" formatCode="0.00">
                  <c:v>1.0261923972563407</c:v>
                </c:pt>
                <c:pt idx="60" formatCode="0.00">
                  <c:v>1.022986749995771</c:v>
                </c:pt>
              </c:numCache>
            </c:numRef>
          </c:val>
          <c:smooth val="0"/>
          <c:extLst>
            <c:ext xmlns:c16="http://schemas.microsoft.com/office/drawing/2014/chart" uri="{C3380CC4-5D6E-409C-BE32-E72D297353CC}">
              <c16:uniqueId val="{00000002-6461-43B1-92C0-41C0A2BB7A33}"/>
            </c:ext>
          </c:extLst>
        </c:ser>
        <c:ser>
          <c:idx val="3"/>
          <c:order val="3"/>
          <c:tx>
            <c:strRef>
              <c:f>'FORECAST(Oder_Quantity)'!$E$1</c:f>
              <c:strCache>
                <c:ptCount val="1"/>
                <c:pt idx="0">
                  <c:v>Upper Confidence Bound(Order_Quantity)</c:v>
                </c:pt>
              </c:strCache>
            </c:strRef>
          </c:tx>
          <c:spPr>
            <a:ln w="12700" cap="rnd">
              <a:solidFill>
                <a:srgbClr val="E87331"/>
              </a:solidFill>
              <a:prstDash val="solid"/>
              <a:round/>
            </a:ln>
            <a:effectLst/>
          </c:spPr>
          <c:marker>
            <c:symbol val="none"/>
          </c:marker>
          <c:cat>
            <c:numRef>
              <c:f>'FORECAST(Oder_Quantity)'!$A$2:$A$62</c:f>
              <c:numCache>
                <c:formatCode>m/d/yyyy</c:formatCode>
                <c:ptCount val="61"/>
                <c:pt idx="0">
                  <c:v>45292</c:v>
                </c:pt>
                <c:pt idx="1">
                  <c:v>45293</c:v>
                </c:pt>
                <c:pt idx="2">
                  <c:v>45294</c:v>
                </c:pt>
                <c:pt idx="3">
                  <c:v>45295</c:v>
                </c:pt>
                <c:pt idx="4">
                  <c:v>45296</c:v>
                </c:pt>
                <c:pt idx="5">
                  <c:v>45297</c:v>
                </c:pt>
                <c:pt idx="6">
                  <c:v>45298</c:v>
                </c:pt>
                <c:pt idx="7">
                  <c:v>45299</c:v>
                </c:pt>
                <c:pt idx="8">
                  <c:v>45300</c:v>
                </c:pt>
                <c:pt idx="9">
                  <c:v>45301</c:v>
                </c:pt>
                <c:pt idx="10">
                  <c:v>45302</c:v>
                </c:pt>
                <c:pt idx="11">
                  <c:v>45303</c:v>
                </c:pt>
                <c:pt idx="12">
                  <c:v>45304</c:v>
                </c:pt>
                <c:pt idx="13">
                  <c:v>45305</c:v>
                </c:pt>
                <c:pt idx="14">
                  <c:v>45306</c:v>
                </c:pt>
                <c:pt idx="15">
                  <c:v>45307</c:v>
                </c:pt>
                <c:pt idx="16">
                  <c:v>45308</c:v>
                </c:pt>
                <c:pt idx="17">
                  <c:v>45309</c:v>
                </c:pt>
                <c:pt idx="18">
                  <c:v>45310</c:v>
                </c:pt>
                <c:pt idx="19">
                  <c:v>45311</c:v>
                </c:pt>
                <c:pt idx="20">
                  <c:v>45312</c:v>
                </c:pt>
                <c:pt idx="21">
                  <c:v>45313</c:v>
                </c:pt>
                <c:pt idx="22">
                  <c:v>45314</c:v>
                </c:pt>
                <c:pt idx="23">
                  <c:v>45315</c:v>
                </c:pt>
                <c:pt idx="24">
                  <c:v>45316</c:v>
                </c:pt>
                <c:pt idx="25">
                  <c:v>45317</c:v>
                </c:pt>
                <c:pt idx="26">
                  <c:v>45318</c:v>
                </c:pt>
                <c:pt idx="27">
                  <c:v>45319</c:v>
                </c:pt>
                <c:pt idx="28">
                  <c:v>45320</c:v>
                </c:pt>
                <c:pt idx="29">
                  <c:v>45321</c:v>
                </c:pt>
                <c:pt idx="30">
                  <c:v>45322</c:v>
                </c:pt>
                <c:pt idx="31">
                  <c:v>45323</c:v>
                </c:pt>
                <c:pt idx="32">
                  <c:v>45324</c:v>
                </c:pt>
                <c:pt idx="33">
                  <c:v>45325</c:v>
                </c:pt>
                <c:pt idx="34">
                  <c:v>45326</c:v>
                </c:pt>
                <c:pt idx="35">
                  <c:v>45327</c:v>
                </c:pt>
                <c:pt idx="36">
                  <c:v>45328</c:v>
                </c:pt>
                <c:pt idx="37">
                  <c:v>45329</c:v>
                </c:pt>
                <c:pt idx="38">
                  <c:v>45330</c:v>
                </c:pt>
                <c:pt idx="39">
                  <c:v>45331</c:v>
                </c:pt>
                <c:pt idx="40">
                  <c:v>45332</c:v>
                </c:pt>
                <c:pt idx="41">
                  <c:v>45333</c:v>
                </c:pt>
                <c:pt idx="42">
                  <c:v>45334</c:v>
                </c:pt>
                <c:pt idx="43">
                  <c:v>45335</c:v>
                </c:pt>
                <c:pt idx="44">
                  <c:v>45336</c:v>
                </c:pt>
                <c:pt idx="45">
                  <c:v>45337</c:v>
                </c:pt>
                <c:pt idx="46">
                  <c:v>45338</c:v>
                </c:pt>
                <c:pt idx="47">
                  <c:v>45339</c:v>
                </c:pt>
                <c:pt idx="48">
                  <c:v>45340</c:v>
                </c:pt>
                <c:pt idx="49">
                  <c:v>45341</c:v>
                </c:pt>
                <c:pt idx="50">
                  <c:v>45342</c:v>
                </c:pt>
                <c:pt idx="51">
                  <c:v>45343</c:v>
                </c:pt>
                <c:pt idx="52">
                  <c:v>45344</c:v>
                </c:pt>
                <c:pt idx="53">
                  <c:v>45345</c:v>
                </c:pt>
                <c:pt idx="54">
                  <c:v>45346</c:v>
                </c:pt>
                <c:pt idx="55">
                  <c:v>45347</c:v>
                </c:pt>
                <c:pt idx="56">
                  <c:v>45348</c:v>
                </c:pt>
                <c:pt idx="57">
                  <c:v>45349</c:v>
                </c:pt>
                <c:pt idx="58">
                  <c:v>45350</c:v>
                </c:pt>
                <c:pt idx="59">
                  <c:v>45351</c:v>
                </c:pt>
                <c:pt idx="60">
                  <c:v>45352</c:v>
                </c:pt>
              </c:numCache>
            </c:numRef>
          </c:cat>
          <c:val>
            <c:numRef>
              <c:f>'FORECAST(Oder_Quantity)'!$E$2:$E$62</c:f>
              <c:numCache>
                <c:formatCode>General</c:formatCode>
                <c:ptCount val="61"/>
                <c:pt idx="34" formatCode="0.00">
                  <c:v>2</c:v>
                </c:pt>
                <c:pt idx="35" formatCode="0.00">
                  <c:v>3.8951190634710837</c:v>
                </c:pt>
                <c:pt idx="36" formatCode="0.00">
                  <c:v>3.9164424947639249</c:v>
                </c:pt>
                <c:pt idx="37" formatCode="0.00">
                  <c:v>3.9378531778470673</c:v>
                </c:pt>
                <c:pt idx="38" formatCode="0.00">
                  <c:v>3.9593504184889206</c:v>
                </c:pt>
                <c:pt idx="39" formatCode="0.00">
                  <c:v>3.9809335288446057</c:v>
                </c:pt>
                <c:pt idx="40" formatCode="0.00">
                  <c:v>4.0026018276104924</c:v>
                </c:pt>
                <c:pt idx="41" formatCode="0.00">
                  <c:v>4.0243546401626791</c:v>
                </c:pt>
                <c:pt idx="42" formatCode="0.00">
                  <c:v>4.0461912986801085</c:v>
                </c:pt>
                <c:pt idx="43" formatCode="0.00">
                  <c:v>4.0681111422532368</c:v>
                </c:pt>
                <c:pt idx="44" formatCode="0.00">
                  <c:v>4.0901135169789038</c:v>
                </c:pt>
                <c:pt idx="45" formatCode="0.00">
                  <c:v>4.1121977760422661</c:v>
                </c:pt>
                <c:pt idx="46" formatCode="0.00">
                  <c:v>4.1343632797863785</c:v>
                </c:pt>
                <c:pt idx="47" formatCode="0.00">
                  <c:v>4.1566093957702517</c:v>
                </c:pt>
                <c:pt idx="48" formatCode="0.00">
                  <c:v>4.1789354988159282</c:v>
                </c:pt>
                <c:pt idx="49" formatCode="0.00">
                  <c:v>4.2013409710453287</c:v>
                </c:pt>
                <c:pt idx="50" formatCode="0.00">
                  <c:v>4.2238252019073732</c:v>
                </c:pt>
                <c:pt idx="51" formatCode="0.00">
                  <c:v>4.246387588196094</c:v>
                </c:pt>
                <c:pt idx="52" formatCode="0.00">
                  <c:v>4.2690275340601715</c:v>
                </c:pt>
                <c:pt idx="53" formatCode="0.00">
                  <c:v>4.2917444510045648</c:v>
                </c:pt>
                <c:pt idx="54" formatCode="0.00">
                  <c:v>4.3145377578846489</c:v>
                </c:pt>
                <c:pt idx="55" formatCode="0.00">
                  <c:v>4.3374068808934476</c:v>
                </c:pt>
                <c:pt idx="56" formatCode="0.00">
                  <c:v>4.3603512535423388</c:v>
                </c:pt>
                <c:pt idx="57" formatCode="0.00">
                  <c:v>4.3833703166357925</c:v>
                </c:pt>
                <c:pt idx="58" formatCode="0.00">
                  <c:v>4.4064635182404608</c:v>
                </c:pt>
                <c:pt idx="59" formatCode="0.00">
                  <c:v>4.4296303136491426</c:v>
                </c:pt>
                <c:pt idx="60" formatCode="0.00">
                  <c:v>4.4528701653398857</c:v>
                </c:pt>
              </c:numCache>
            </c:numRef>
          </c:val>
          <c:smooth val="0"/>
          <c:extLst>
            <c:ext xmlns:c16="http://schemas.microsoft.com/office/drawing/2014/chart" uri="{C3380CC4-5D6E-409C-BE32-E72D297353CC}">
              <c16:uniqueId val="{00000003-6461-43B1-92C0-41C0A2BB7A33}"/>
            </c:ext>
          </c:extLst>
        </c:ser>
        <c:dLbls>
          <c:showLegendKey val="0"/>
          <c:showVal val="0"/>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358375896"/>
        <c:axId val="358373600"/>
      </c:lineChart>
      <c:catAx>
        <c:axId val="358375896"/>
        <c:scaling>
          <c:orientation val="minMax"/>
        </c:scaling>
        <c:delete val="1"/>
        <c:axPos val="b"/>
        <c:majorTickMark val="none"/>
        <c:minorTickMark val="none"/>
        <c:tickLblPos val="low"/>
        <c:crossAx val="358373600"/>
        <c:crosses val="autoZero"/>
        <c:auto val="1"/>
        <c:lblAlgn val="ctr"/>
        <c:lblOffset val="100"/>
        <c:noMultiLvlLbl val="0"/>
      </c:catAx>
      <c:valAx>
        <c:axId val="3583736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8375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_xlchart.v2.14</cx:f>
      </cx:numDim>
    </cx:data>
  </cx:chartData>
  <cx:chart>
    <cx:title pos="t" align="ctr" overlay="0">
      <cx:tx>
        <cx:txData>
          <cx:v>Highest spending customers(Top 5) </cx:v>
        </cx:txData>
      </cx:tx>
      <cx:txPr>
        <a:bodyPr spcFirstLastPara="1" vertOverflow="ellipsis" horzOverflow="overflow" wrap="square" lIns="0" tIns="0" rIns="0" bIns="0" anchor="ctr" anchorCtr="1"/>
        <a:lstStyle/>
        <a:p>
          <a:pPr algn="ctr" rtl="0">
            <a:defRPr/>
          </a:pPr>
          <a:r>
            <a:rPr lang="en-US" sz="1600" b="1" i="0" u="none" strike="noStrike" baseline="0">
              <a:solidFill>
                <a:schemeClr val="tx1"/>
              </a:solidFill>
              <a:latin typeface="Aptos Narrow" panose="02110004020202020204"/>
            </a:rPr>
            <a:t>Highest spending customers(Top 5) </a:t>
          </a:r>
        </a:p>
      </cx:txPr>
    </cx:title>
    <cx:plotArea>
      <cx:plotAreaRegion>
        <cx:series layoutId="funnel" uniqueId="{0DA6DF6A-E9E1-434E-9F66-414113CC6748}">
          <cx:tx>
            <cx:txData>
              <cx:f>_xlchart.v2.13</cx:f>
              <cx:v>Revenue</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aseline="0">
                <a:solidFill>
                  <a:sysClr val="windowText" lastClr="000000"/>
                </a:solidFill>
              </a:defRPr>
            </a:pPr>
            <a:endParaRPr lang="en-US" sz="900" b="0" i="0" u="none" strike="noStrike" baseline="0">
              <a:solidFill>
                <a:sysClr val="windowText" lastClr="000000"/>
              </a:solidFill>
              <a:latin typeface="Aptos Narrow" panose="02110004020202020204"/>
            </a:endParaRPr>
          </a:p>
        </cx:txPr>
      </cx:axis>
    </cx:plotArea>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_xlchart.v2.15</cx:f>
      </cx:strDim>
      <cx:numDim type="val">
        <cx:f>_xlchart.v2.16</cx:f>
      </cx:numDim>
    </cx:data>
  </cx:chartData>
  <cx:chart>
    <cx:title pos="t" align="ctr" overlay="0">
      <cx:tx>
        <cx:txData>
          <cx:v>Customer and Quantuty*Top 5)</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Aptos Narrow" panose="02110004020202020204"/>
            </a:rPr>
            <a:t>Customer and Quantuty*Top 5)</a:t>
          </a:r>
        </a:p>
      </cx:txPr>
    </cx:title>
    <cx:plotArea>
      <cx:plotAreaRegion>
        <cx:series layoutId="funnel" uniqueId="{32A94BD2-0781-4C4A-8831-36AA4022A2EB}">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aseline="0">
                <a:solidFill>
                  <a:sysClr val="windowText" lastClr="000000"/>
                </a:solidFill>
              </a:defRPr>
            </a:pPr>
            <a:endParaRPr lang="en-US" sz="900" b="0" i="0" u="none" strike="noStrike" baseline="0">
              <a:solidFill>
                <a:sysClr val="windowText" lastClr="000000"/>
              </a:solidFill>
              <a:latin typeface="Aptos Narrow" panose="02110004020202020204"/>
            </a:endParaRPr>
          </a:p>
        </cx:txPr>
      </cx:axis>
    </cx:plotArea>
  </cx:chart>
  <cx:spPr>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Daily Orders </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Aptos Narrow" panose="02110004020202020204"/>
            </a:rPr>
            <a:t>Daily Orders </a:t>
          </a:r>
        </a:p>
      </cx:txPr>
    </cx:title>
    <cx:plotArea>
      <cx:plotAreaRegion>
        <cx:series layoutId="treemap" uniqueId="{502E663C-D959-4B4B-AC0A-56BB899B998F}">
          <cx:dataLabels pos="inEnd">
            <cx:txPr>
              <a:bodyPr spcFirstLastPara="1" vertOverflow="ellipsis" horzOverflow="overflow" wrap="square" lIns="0" tIns="0" rIns="0" bIns="0" anchor="ctr" anchorCtr="1"/>
              <a:lstStyle/>
              <a:p>
                <a:pPr algn="ctr" rtl="0">
                  <a:defRPr sz="1020" baseline="0"/>
                </a:pPr>
                <a:endParaRPr lang="en-US" sz="1020" b="0" i="0" u="none" strike="noStrike" baseline="0">
                  <a:solidFill>
                    <a:sysClr val="window" lastClr="FFFFFF"/>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solidFill>
        <a:schemeClr val="tx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Retail Prices </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Aptos Narrow" panose="02110004020202020204"/>
            </a:rPr>
            <a:t>Retail Prices </a:t>
          </a:r>
        </a:p>
      </cx:txPr>
    </cx:title>
    <cx:plotArea>
      <cx:plotAreaRegion>
        <cx:series layoutId="boxWhisker" uniqueId="{F6B20200-BFB7-48AC-B951-94EBBAEA9DA6}">
          <cx:tx>
            <cx:txData>
              <cx:f>_xlchart.v1.2</cx:f>
              <cx:v>Retail_Price(USD)</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ln>
      <a:solidFill>
        <a:schemeClr val="tx1"/>
      </a:solid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Least Spending Customers(Bottom 5)</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rPr sz="1600" b="1">
              <a:solidFill>
                <a:schemeClr val="tx1"/>
              </a:solidFill>
              <a:latin typeface="+mn-lt"/>
            </a:rPr>
            <a:t>Least Spending Customers(Bottom 5)</a:t>
          </a:r>
        </a:p>
      </cx:txPr>
    </cx:title>
    <cx:plotArea>
      <cx:plotAreaRegion>
        <cx:series layoutId="funnel" uniqueId="{D5ABB293-4585-46F2-8744-EDBB1B19605D}">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ln>
      <a:solidFill>
        <a:schemeClr val="tx1"/>
      </a:solid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_xlchart.v1.7</cx:f>
      </cx:numDim>
    </cx:data>
    <cx:data id="1">
      <cx:numDim type="val">
        <cx:f>_xlchart.v1.9</cx:f>
      </cx:numDim>
    </cx:data>
    <cx:data id="2">
      <cx:numDim type="val">
        <cx:f>_xlchart.v1.11</cx:f>
      </cx:numDim>
    </cx:data>
  </cx:chartData>
  <cx:chart>
    <cx:title pos="t" align="ctr" overlay="0">
      <cx:tx>
        <cx:rich>
          <a:bodyPr rot="0" spcFirstLastPara="1" vertOverflow="ellipsis" vert="horz" wrap="square" lIns="0" tIns="0" rIns="0" bIns="0" anchor="ctr" anchorCtr="1"/>
          <a:lstStyle/>
          <a:p>
            <a:r>
              <a:rPr lang="en-US" sz="1400" b="1" i="0" baseline="0">
                <a:effectLst/>
              </a:rPr>
              <a:t>Box Plot Comparison of Total Sales, Retail Price, and Order Quantity</a:t>
            </a:r>
            <a:endParaRPr lang="en-US" sz="1400">
              <a:effectLst/>
            </a:endParaRPr>
          </a:p>
        </cx:rich>
      </cx:tx>
    </cx:title>
    <cx:plotArea>
      <cx:plotAreaRegion>
        <cx:series layoutId="boxWhisker" uniqueId="{9DEAECE5-5D8B-47A2-939E-06E1CE7BE657}">
          <cx:tx>
            <cx:txData>
              <cx:f>_xlchart.v1.6</cx:f>
              <cx:v>Retail_Price(USD)</cx:v>
            </cx:txData>
          </cx:tx>
          <cx:dataId val="0"/>
          <cx:layoutPr>
            <cx:visibility meanLine="0" meanMarker="1" nonoutliers="0" outliers="1"/>
            <cx:statistics quartileMethod="exclusive"/>
          </cx:layoutPr>
        </cx:series>
        <cx:series layoutId="boxWhisker" uniqueId="{8929511F-6AE4-45E0-966A-3358D83EB490}">
          <cx:tx>
            <cx:txData>
              <cx:f>_xlchart.v1.8</cx:f>
              <cx:v>Order_Quantity</cx:v>
            </cx:txData>
          </cx:tx>
          <cx:dataId val="1"/>
          <cx:layoutPr>
            <cx:visibility meanLine="0" meanMarker="1" nonoutliers="0" outliers="1"/>
            <cx:statistics quartileMethod="exclusive"/>
          </cx:layoutPr>
        </cx:series>
        <cx:series layoutId="boxWhisker" uniqueId="{34B708F4-985A-439C-9088-F4A10CCB770E}">
          <cx:tx>
            <cx:txData>
              <cx:f>_xlchart.v1.10</cx:f>
              <cx:v>Total_(USD)</cx:v>
            </cx:txData>
          </cx:tx>
          <cx:dataId val="2"/>
          <cx:layoutPr>
            <cx:visibility meanLine="0" meanMarker="1" nonoutliers="0" outliers="1"/>
            <cx:statistics quartileMethod="exclusive"/>
          </cx:layoutPr>
        </cx:series>
      </cx:plotAreaRegion>
      <cx:axis id="0">
        <cx:catScaling gapWidth="1.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b"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lrMapOvr bg1="lt1" tx1="dk1" bg2="lt2" tx2="dk2" accent1="accent1" accent2="accent2" accent3="accent3" accent4="accent4" accent5="accent5" accent6="accent6" hlink="hlink" folHlink="folHlink"/>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numDim type="val">
        <cx:f>_xlchart.v1.17</cx:f>
      </cx:numDim>
    </cx:data>
  </cx:chartData>
  <cx:chart>
    <cx:title pos="t" align="ctr" overlay="0">
      <cx:tx>
        <cx:txData>
          <cx:v>RECENCY SCORE DISTRIBUTION</cx:v>
        </cx:txData>
      </cx:tx>
      <cx:spPr>
        <a:solidFill>
          <a:srgbClr val="FFFFFF"/>
        </a:solidFill>
      </cx:spPr>
      <cx:txPr>
        <a:bodyPr vertOverflow="overflow" horzOverflow="overflow" wrap="square" lIns="0" tIns="0" rIns="0" bIns="0"/>
        <a:lstStyle/>
        <a:p>
          <a:pPr algn="ctr" rtl="0">
            <a:defRPr sz="1200" b="0" i="0">
              <a:solidFill>
                <a:srgbClr val="C00000"/>
              </a:solidFill>
              <a:latin typeface="Arial Black" panose="020B0A04020102020204" pitchFamily="34" charset="0"/>
              <a:ea typeface="Arial Black" panose="020B0A04020102020204" pitchFamily="34" charset="0"/>
              <a:cs typeface="Arial Black" panose="020B0A04020102020204" pitchFamily="34" charset="0"/>
            </a:defRPr>
          </a:pPr>
          <a:r>
            <a:rPr sz="1600" b="1">
              <a:solidFill>
                <a:schemeClr val="tx1"/>
              </a:solidFill>
              <a:latin typeface="+mn-lt"/>
            </a:rPr>
            <a:t>RECENCY SCORE DISTRIBUTION</a:t>
          </a:r>
        </a:p>
      </cx:txPr>
    </cx:title>
    <cx:plotArea>
      <cx:plotAreaRegion>
        <cx:series layoutId="clusteredColumn" uniqueId="{829CDE1D-6AC4-42BB-ACC5-5B2E4267DEE9}">
          <cx:tx>
            <cx:txData>
              <cx:f>_xlchart.v1.18</cx:f>
              <cx:v>5</cx:v>
            </cx:txData>
          </cx:tx>
          <cx:dataId val="0"/>
          <cx:layoutPr>
            <cx:binning intervalClosed="r"/>
          </cx:layoutPr>
        </cx:series>
      </cx:plotAreaRegion>
      <cx:axis id="0">
        <cx:catScaling gapWidth="0.0799999982"/>
        <cx:title>
          <cx:tx>
            <cx:txData>
              <cx:v>Recency Score</cx:v>
            </cx:txData>
          </cx:tx>
          <cx:txPr>
            <a:bodyPr vertOverflow="overflow" horzOverflow="overflow" wrap="square" lIns="0" tIns="0" rIns="0" bIns="0"/>
            <a:lstStyle/>
            <a:p>
              <a:pPr algn="ctr" rtl="0">
                <a:defRPr sz="900" b="0" i="0">
                  <a:solidFill>
                    <a:srgbClr val="7E350E"/>
                  </a:solidFill>
                  <a:latin typeface="Aptos Narrow" panose="020B0004020202020204" pitchFamily="34" charset="0"/>
                  <a:ea typeface="Aptos Narrow" panose="020B0004020202020204" pitchFamily="34" charset="0"/>
                  <a:cs typeface="Aptos Narrow" panose="020B0004020202020204" pitchFamily="34" charset="0"/>
                </a:defRPr>
              </a:pPr>
              <a:r>
                <a:rPr>
                  <a:solidFill>
                    <a:srgbClr val="7E350E"/>
                  </a:solidFill>
                </a:rPr>
                <a:t>Recency Score</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solidFill>
                <a:srgbClr val="000000"/>
              </a:solidFill>
            </a:endParaRPr>
          </a:p>
        </cx:txPr>
      </cx:axis>
      <cx:axis id="1">
        <cx:valScaling/>
        <cx:title>
          <cx:tx>
            <cx:txData>
              <cx:v>Recency(Order date)</cx:v>
            </cx:txData>
          </cx:tx>
          <cx:txPr>
            <a:bodyPr vertOverflow="overflow" horzOverflow="overflow" wrap="square" lIns="0" tIns="0" rIns="0" bIns="0"/>
            <a:lstStyle/>
            <a:p>
              <a:pPr algn="ctr" rtl="0">
                <a:defRPr sz="900" b="0" i="0">
                  <a:solidFill>
                    <a:srgbClr val="7E350E"/>
                  </a:solidFill>
                  <a:latin typeface="Aptos Narrow" panose="020B0004020202020204" pitchFamily="34" charset="0"/>
                  <a:ea typeface="Aptos Narrow" panose="020B0004020202020204" pitchFamily="34" charset="0"/>
                  <a:cs typeface="Aptos Narrow" panose="020B0004020202020204" pitchFamily="34" charset="0"/>
                </a:defRPr>
              </a:pPr>
              <a:r>
                <a:rPr>
                  <a:solidFill>
                    <a:srgbClr val="7E350E"/>
                  </a:solidFill>
                </a:rPr>
                <a:t>Recency(Order date)</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spPr>
    <a:ln>
      <a:solidFill>
        <a:schemeClr val="tx1"/>
      </a:solid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numDim type="val">
        <cx:f>_xlchart.v1.20</cx:f>
      </cx:numDim>
    </cx:data>
  </cx:chartData>
  <cx:chart>
    <cx:title pos="t" align="ctr" overlay="0">
      <cx:tx>
        <cx:txData>
          <cx:v>Total (USD) Distribution</cx:v>
        </cx:txData>
      </cx:tx>
      <cx:txPr>
        <a:bodyPr vertOverflow="overflow" horzOverflow="overflow" wrap="square" lIns="0" tIns="0" rIns="0" bIns="0"/>
        <a:lstStyle/>
        <a:p>
          <a:pPr algn="ctr" rtl="0">
            <a:defRPr sz="1400" b="1" i="0">
              <a:solidFill>
                <a:srgbClr val="7F7F7F"/>
              </a:solidFill>
              <a:latin typeface="Calibri" panose="020F0502020204030204" pitchFamily="34" charset="0"/>
              <a:ea typeface="Calibri" panose="020F0502020204030204" pitchFamily="34" charset="0"/>
              <a:cs typeface="Calibri" panose="020F0502020204030204" pitchFamily="34" charset="0"/>
            </a:defRPr>
          </a:pPr>
          <a:r>
            <a:rPr sz="1600" b="1">
              <a:solidFill>
                <a:schemeClr val="tx1"/>
              </a:solidFill>
              <a:latin typeface="+mn-lt"/>
            </a:rPr>
            <a:t>Total (USD) Distribution</a:t>
          </a:r>
        </a:p>
      </cx:txPr>
    </cx:title>
    <cx:plotArea>
      <cx:plotAreaRegion>
        <cx:series layoutId="clusteredColumn" uniqueId="{880EFEB6-1780-43B3-B3B2-3107A010F862}">
          <cx:tx>
            <cx:txData>
              <cx:f>_xlchart.v1.19</cx:f>
              <cx:v>Tax_(USD)</cx:v>
            </cx:txData>
          </cx:tx>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ln>
      <a:solidFill>
        <a:schemeClr val="tx1"/>
      </a:solidFill>
    </a:ln>
  </cx:spPr>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numDim type="val">
        <cx:f>_xlchart.v1.22</cx:f>
      </cx:numDim>
    </cx:data>
  </cx:chartData>
  <cx:chart>
    <cx:title pos="t" align="ctr" overlay="0">
      <cx:tx>
        <cx:txData>
          <cx:v>Order Quantity Distribution</cx:v>
        </cx:txData>
      </cx:tx>
      <cx:txPr>
        <a:bodyPr vertOverflow="overflow" horzOverflow="overflow" wrap="square" lIns="0" tIns="0" rIns="0" bIns="0"/>
        <a:lstStyle/>
        <a:p>
          <a:pPr algn="ctr" rtl="0">
            <a:defRPr sz="1400" b="1" i="0">
              <a:solidFill>
                <a:srgbClr val="7F7F7F"/>
              </a:solidFill>
              <a:latin typeface="Calibri" panose="020F0502020204030204" pitchFamily="34" charset="0"/>
              <a:ea typeface="Calibri" panose="020F0502020204030204" pitchFamily="34" charset="0"/>
              <a:cs typeface="Calibri" panose="020F0502020204030204" pitchFamily="34" charset="0"/>
            </a:defRPr>
          </a:pPr>
          <a:r>
            <a:rPr sz="1600" b="1">
              <a:solidFill>
                <a:sysClr val="windowText" lastClr="000000"/>
              </a:solidFill>
              <a:latin typeface="+mn-lt"/>
            </a:rPr>
            <a:t>Order Quantity Distribution</a:t>
          </a:r>
        </a:p>
      </cx:txPr>
    </cx:title>
    <cx:plotArea>
      <cx:plotAreaRegion>
        <cx:series layoutId="clusteredColumn" uniqueId="{013DA59F-DC09-4A4E-BBA6-F558983EA827}">
          <cx:tx>
            <cx:txData>
              <cx:f>_xlchart.v1.21</cx:f>
              <cx:v>Order_Quantity</cx:v>
            </cx:txData>
          </cx:tx>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ln>
      <a:solidFill>
        <a:schemeClr val="tx1"/>
      </a:solidFill>
    </a:ln>
  </cx:spPr>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numDim type="val">
        <cx:f>_xlchart.v1.24</cx:f>
      </cx:numDim>
    </cx:data>
  </cx:chartData>
  <cx:chart>
    <cx:title pos="t" align="ctr" overlay="0">
      <cx:tx>
        <cx:rich>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rPr sz="1600">
                <a:solidFill>
                  <a:sysClr val="windowText" lastClr="000000"/>
                </a:solidFill>
                <a:latin typeface="+mn-lt"/>
              </a:rPr>
              <a:t>Unit </a:t>
            </a:r>
            <a:r>
              <a:rPr sz="1600" b="1">
                <a:solidFill>
                  <a:sysClr val="windowText" lastClr="000000"/>
                </a:solidFill>
                <a:latin typeface="+mn-lt"/>
              </a:rPr>
              <a:t>Price</a:t>
            </a:r>
            <a:r>
              <a:rPr sz="1600">
                <a:solidFill>
                  <a:sysClr val="windowText" lastClr="000000"/>
                </a:solidFill>
                <a:latin typeface="+mn-lt"/>
              </a:rPr>
              <a:t> </a:t>
            </a:r>
            <a:r>
              <a:rPr sz="1600" b="0">
                <a:solidFill>
                  <a:sysClr val="windowText" lastClr="000000"/>
                </a:solidFill>
                <a:latin typeface="+mn-lt"/>
              </a:rPr>
              <a:t>Distribution</a:t>
            </a:r>
          </a:p>
        </cx:rich>
      </cx:tx>
    </cx:title>
    <cx:plotArea>
      <cx:plotAreaRegion>
        <cx:series layoutId="clusteredColumn" uniqueId="{A844CD43-B534-4EEC-9543-5D00CAA3C97A}">
          <cx:tx>
            <cx:txData>
              <cx:f>_xlchart.v1.23</cx:f>
              <cx:v>Unit Price</cx:v>
            </cx:txData>
          </cx:tx>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ln>
      <a:solidFill>
        <a:schemeClr val="tx1"/>
      </a:solidFill>
    </a:ln>
  </cx:spPr>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numDim type="val">
        <cx:f>_xlchart.v1.26</cx:f>
      </cx:numDim>
    </cx:data>
  </cx:chartData>
  <cx:chart>
    <cx:title pos="t" align="ctr" overlay="0">
      <cx:tx>
        <cx:txData>
          <cx:v>  Tax Rate Distribution</cx:v>
        </cx:txData>
      </cx:tx>
      <cx:txPr>
        <a:bodyPr vertOverflow="overflow" horzOverflow="overflow" wrap="square" lIns="0" tIns="0" rIns="0" bIns="0"/>
        <a:lstStyle/>
        <a:p>
          <a:pPr algn="ctr" rtl="0">
            <a:defRPr sz="1400" b="0" i="0">
              <a:solidFill>
                <a:srgbClr val="7F7F7F"/>
              </a:solidFill>
              <a:latin typeface="Calibri" panose="020F0502020204030204" pitchFamily="34" charset="0"/>
              <a:ea typeface="Calibri" panose="020F0502020204030204" pitchFamily="34" charset="0"/>
              <a:cs typeface="Calibri" panose="020F0502020204030204" pitchFamily="34" charset="0"/>
            </a:defRPr>
          </a:pPr>
          <a:r>
            <a:rPr sz="1600" b="1">
              <a:solidFill>
                <a:schemeClr val="tx1"/>
              </a:solidFill>
              <a:latin typeface="+mn-lt"/>
            </a:rPr>
            <a:t>  Tax Rate Distribution</a:t>
          </a:r>
        </a:p>
      </cx:txPr>
    </cx:title>
    <cx:plotArea>
      <cx:plotAreaRegion>
        <cx:series layoutId="boxWhisker" uniqueId="{1365240F-C116-461B-B7AC-A192AC5A127D}">
          <cx:tx>
            <cx:txData>
              <cx:f>_xlchart.v1.25</cx:f>
              <cx:v>Tax Rate(%)</cx:v>
            </cx:txData>
          </cx:tx>
          <cx:dataId val="0"/>
          <cx:layoutPr>
            <cx:visibility meanLine="0" meanMarker="1" nonoutliers="0" outliers="1"/>
            <cx:statistics quartileMethod="exclusive"/>
          </cx:layoutPr>
        </cx:series>
      </cx:plotAreaRegion>
      <cx:axis id="0">
        <cx:catScaling gapWidth="1"/>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title>
          <cx:tx>
            <cx:txData>
              <cx:v>% </cx:v>
            </cx:txData>
          </cx:tx>
          <cx:txPr>
            <a:bodyPr vertOverflow="overflow" horzOverflow="overflow" wrap="square" lIns="0" tIns="0" rIns="0" bIns="0"/>
            <a:lstStyle/>
            <a:p>
              <a:pPr algn="ctr" rtl="0">
                <a:defRPr sz="1000" b="1" i="0">
                  <a:solidFill>
                    <a:srgbClr val="E87331"/>
                  </a:solidFill>
                  <a:latin typeface="Aptos Narrow" panose="020B0004020202020204" pitchFamily="34" charset="0"/>
                  <a:ea typeface="Aptos Narrow" panose="020B0004020202020204" pitchFamily="34" charset="0"/>
                  <a:cs typeface="Aptos Narrow" panose="020B0004020202020204" pitchFamily="34" charset="0"/>
                </a:defRPr>
              </a:pPr>
              <a:r>
                <a:rPr sz="1000" b="1">
                  <a:solidFill>
                    <a:srgbClr val="E87331"/>
                  </a:solidFill>
                </a:rPr>
                <a:t>% </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ln>
      <a:solidFill>
        <a:schemeClr val="tx1"/>
      </a:solidFill>
    </a:ln>
  </cx:spPr>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numDim type="val">
        <cx:f>_xlchart.v1.28</cx:f>
      </cx:numDim>
    </cx:data>
  </cx:chartData>
  <cx:chart>
    <cx:title pos="t" align="ctr" overlay="0">
      <cx:tx>
        <cx:txData>
          <cx:v>Distribution of Shipping Delays </cx:v>
        </cx:txData>
      </cx:tx>
      <cx:txPr>
        <a:bodyPr spcFirstLastPara="1" vertOverflow="ellipsis" wrap="square" lIns="0" tIns="0" rIns="0" bIns="0" anchor="ctr" anchorCtr="1"/>
        <a:lstStyle/>
        <a:p>
          <a:pPr algn="ctr">
            <a:defRPr/>
          </a:pPr>
          <a:r>
            <a:rPr lang="en-US" sz="1600" b="1">
              <a:solidFill>
                <a:schemeClr val="tx1"/>
              </a:solidFill>
            </a:rPr>
            <a:t>Distribution of Shipping Delays </a:t>
          </a:r>
        </a:p>
      </cx:txPr>
    </cx:title>
    <cx:plotArea>
      <cx:plotAreaRegion>
        <cx:series layoutId="clusteredColumn" uniqueId="{1B469BCE-8AF9-4260-B3DC-FE7278F8248B}">
          <cx:tx>
            <cx:txData>
              <cx:f>_xlchart.v1.27</cx:f>
              <cx:v>Shipping Delay</cx:v>
            </cx:txData>
          </cx:tx>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ln>
      <a:solidFill>
        <a:schemeClr val="tx1"/>
      </a:solidFill>
    </a:ln>
  </cx:spPr>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numDim type="val">
        <cx:f>_xlchart.v1.30</cx:f>
      </cx:numDim>
    </cx:data>
  </cx:chartData>
  <cx:chart>
    <cx:title pos="t" align="ctr" overlay="0">
      <cx:tx>
        <cx:txData>
          <cx:v>Retail Price Distribution</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solidFill>
              <a:latin typeface="Aptos Narrow" panose="02110004020202020204"/>
            </a:rPr>
            <a:t>Retail Price Distribution</a:t>
          </a:r>
        </a:p>
      </cx:txPr>
    </cx:title>
    <cx:plotArea>
      <cx:plotAreaRegion>
        <cx:series layoutId="clusteredColumn" uniqueId="{D1131BCF-B42C-4938-8D8F-67F73B9444FE}">
          <cx:tx>
            <cx:txData>
              <cx:f>_xlchart.v1.29</cx:f>
              <cx:v>Retail_Price(USD)</cx:v>
            </cx:txData>
          </cx:tx>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spPr>
    <a:ln>
      <a:solidFill>
        <a:schemeClr val="tx1"/>
      </a:solidFill>
    </a:ln>
  </cx:spPr>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numDim type="val">
        <cx:f>_xlchart.v1.31</cx:f>
      </cx:numDim>
    </cx:data>
  </cx:chartData>
  <cx:chart>
    <cx:title pos="t" align="ctr" overlay="0">
      <cx:tx>
        <cx:txData>
          <cx:v>RECENCY SCORE DISTRIBUTION</cx:v>
        </cx:txData>
      </cx:tx>
      <cx:spPr>
        <a:solidFill>
          <a:srgbClr val="FFFFFF"/>
        </a:solidFill>
      </cx:spPr>
      <cx:txPr>
        <a:bodyPr vertOverflow="overflow" horzOverflow="overflow" wrap="square" lIns="0" tIns="0" rIns="0" bIns="0"/>
        <a:lstStyle/>
        <a:p>
          <a:pPr algn="ctr" rtl="0">
            <a:defRPr sz="1200" b="0" i="0">
              <a:solidFill>
                <a:srgbClr val="C00000"/>
              </a:solidFill>
              <a:latin typeface="Arial Black" panose="020B0A04020102020204" pitchFamily="34" charset="0"/>
              <a:ea typeface="Arial Black" panose="020B0A04020102020204" pitchFamily="34" charset="0"/>
              <a:cs typeface="Arial Black" panose="020B0A04020102020204" pitchFamily="34" charset="0"/>
            </a:defRPr>
          </a:pPr>
          <a:r>
            <a:rPr sz="1200">
              <a:solidFill>
                <a:srgbClr val="C00000"/>
              </a:solidFill>
              <a:latin typeface="Arial Black" panose="020B0A04020102020204" pitchFamily="34" charset="0"/>
            </a:rPr>
            <a:t>RECENCY SCORE DISTRIBUTION</a:t>
          </a:r>
        </a:p>
      </cx:txPr>
    </cx:title>
    <cx:plotArea>
      <cx:plotAreaRegion>
        <cx:series layoutId="clusteredColumn" uniqueId="{829CDE1D-6AC4-42BB-ACC5-5B2E4267DEE9}">
          <cx:tx>
            <cx:txData>
              <cx:f>_xlchart.v1.32</cx:f>
              <cx:v>5</cx:v>
            </cx:txData>
          </cx:tx>
          <cx:dataId val="0"/>
          <cx:layoutPr>
            <cx:binning intervalClosed="r"/>
          </cx:layoutPr>
        </cx:series>
      </cx:plotAreaRegion>
      <cx:axis id="0">
        <cx:catScaling gapWidth="0.0799999982"/>
        <cx:title>
          <cx:tx>
            <cx:txData>
              <cx:v>Recency Score</cx:v>
            </cx:txData>
          </cx:tx>
          <cx:txPr>
            <a:bodyPr vertOverflow="overflow" horzOverflow="overflow" wrap="square" lIns="0" tIns="0" rIns="0" bIns="0"/>
            <a:lstStyle/>
            <a:p>
              <a:pPr algn="ctr" rtl="0">
                <a:defRPr sz="900" b="0" i="0">
                  <a:solidFill>
                    <a:srgbClr val="7E350E"/>
                  </a:solidFill>
                  <a:latin typeface="Aptos Narrow" panose="020B0004020202020204" pitchFamily="34" charset="0"/>
                  <a:ea typeface="Aptos Narrow" panose="020B0004020202020204" pitchFamily="34" charset="0"/>
                  <a:cs typeface="Aptos Narrow" panose="020B0004020202020204" pitchFamily="34" charset="0"/>
                </a:defRPr>
              </a:pPr>
              <a:r>
                <a:rPr>
                  <a:solidFill>
                    <a:srgbClr val="7E350E"/>
                  </a:solidFill>
                </a:rPr>
                <a:t>Recency Score</a:t>
              </a:r>
            </a:p>
          </cx:txPr>
        </cx:title>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solidFill>
                <a:srgbClr val="000000"/>
              </a:solidFill>
            </a:endParaRPr>
          </a:p>
        </cx:txPr>
      </cx:axis>
      <cx:axis id="1">
        <cx:valScaling/>
        <cx:title>
          <cx:tx>
            <cx:txData>
              <cx:v>Recency(Order date)</cx:v>
            </cx:txData>
          </cx:tx>
          <cx:txPr>
            <a:bodyPr vertOverflow="overflow" horzOverflow="overflow" wrap="square" lIns="0" tIns="0" rIns="0" bIns="0"/>
            <a:lstStyle/>
            <a:p>
              <a:pPr algn="ctr" rtl="0">
                <a:defRPr sz="900" b="0" i="0">
                  <a:solidFill>
                    <a:srgbClr val="7E350E"/>
                  </a:solidFill>
                  <a:latin typeface="Aptos Narrow" panose="020B0004020202020204" pitchFamily="34" charset="0"/>
                  <a:ea typeface="Aptos Narrow" panose="020B0004020202020204" pitchFamily="34" charset="0"/>
                  <a:cs typeface="Aptos Narrow" panose="020B0004020202020204" pitchFamily="34" charset="0"/>
                </a:defRPr>
              </a:pPr>
              <a:r>
                <a:rPr>
                  <a:solidFill>
                    <a:srgbClr val="7E350E"/>
                  </a:solidFill>
                </a:rPr>
                <a:t>Recency(Order date)</a:t>
              </a:r>
            </a:p>
          </cx:txPr>
        </cx:title>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t"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hartEx15.xml><?xml version="1.0" encoding="utf-8"?>
<cx:chartSpace xmlns:a="http://schemas.openxmlformats.org/drawingml/2006/main" xmlns:r="http://schemas.openxmlformats.org/officeDocument/2006/relationships" xmlns:cx="http://schemas.microsoft.com/office/drawing/2014/chartex">
  <cx:chartData>
    <cx:data id="0">
      <cx:numDim type="val">
        <cx:f>_xlchart.v1.34</cx:f>
      </cx:numDim>
    </cx:data>
    <cx:data id="1">
      <cx:numDim type="val">
        <cx:f>_xlchart.v1.36</cx:f>
      </cx:numDim>
    </cx:data>
    <cx:data id="2">
      <cx:numDim type="val">
        <cx:f>_xlchart.v1.38</cx:f>
      </cx:numDim>
    </cx:data>
  </cx:chartData>
  <cx:chart>
    <cx:title pos="t" align="ctr" overlay="0">
      <cx:tx>
        <cx:rich>
          <a:bodyPr rot="0" spcFirstLastPara="1" vertOverflow="ellipsis" vert="horz" wrap="square" lIns="0" tIns="0" rIns="0" bIns="0" anchor="ctr" anchorCtr="1"/>
          <a:lstStyle/>
          <a:p>
            <a:r>
              <a:rPr lang="en-US" sz="1400" b="1" i="0" baseline="0">
                <a:effectLst/>
              </a:rPr>
              <a:t>Box Plot Comparison of Total Sales, Retail Price, and Order Quantity</a:t>
            </a:r>
            <a:endParaRPr lang="en-US" sz="1400">
              <a:effectLst/>
            </a:endParaRPr>
          </a:p>
        </cx:rich>
      </cx:tx>
    </cx:title>
    <cx:plotArea>
      <cx:plotAreaRegion>
        <cx:series layoutId="boxWhisker" uniqueId="{9DEAECE5-5D8B-47A2-939E-06E1CE7BE657}">
          <cx:tx>
            <cx:txData>
              <cx:f>_xlchart.v1.33</cx:f>
              <cx:v>Retail_Price(USD)</cx:v>
            </cx:txData>
          </cx:tx>
          <cx:dataId val="0"/>
          <cx:layoutPr>
            <cx:visibility meanLine="0" meanMarker="1" nonoutliers="0" outliers="1"/>
            <cx:statistics quartileMethod="exclusive"/>
          </cx:layoutPr>
        </cx:series>
        <cx:series layoutId="boxWhisker" uniqueId="{8929511F-6AE4-45E0-966A-3358D83EB490}">
          <cx:tx>
            <cx:txData>
              <cx:f>_xlchart.v1.35</cx:f>
              <cx:v>Order_Quantity</cx:v>
            </cx:txData>
          </cx:tx>
          <cx:dataId val="1"/>
          <cx:layoutPr>
            <cx:visibility meanLine="0" meanMarker="1" nonoutliers="0" outliers="1"/>
            <cx:statistics quartileMethod="exclusive"/>
          </cx:layoutPr>
        </cx:series>
        <cx:series layoutId="boxWhisker" uniqueId="{34B708F4-985A-439C-9088-F4A10CCB770E}">
          <cx:tx>
            <cx:txData>
              <cx:f>_xlchart.v1.37</cx:f>
              <cx:v>Total_(USD)</cx:v>
            </cx:txData>
          </cx:tx>
          <cx:dataId val="2"/>
          <cx:layoutPr>
            <cx:visibility meanLine="0" meanMarker="1" nonoutliers="0" outliers="1"/>
            <cx:statistics quartileMethod="exclusive"/>
          </cx:layoutPr>
        </cx:series>
      </cx:plotAreaRegion>
      <cx:axis id="0">
        <cx:catScaling gapWidth="1.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legend pos="b"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lrMapOvr bg1="lt1" tx1="dk1" bg2="lt2" tx2="dk2" accent1="accent1" accent2="accent2" accent3="accent3" accent4="accent4" accent5="accent5" accent6="accent6" hlink="hlink" folHlink="folHlink"/>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baseline="0"/>
    <cs:bodyPr rot="-60000000" vert="horz"/>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cs:dataLabel>
  <cs:dataLabelCallout>
    <cs:lnRef idx="0"/>
    <cs:fillRef idx="0"/>
    <cs:effectRef idx="0"/>
    <cs:fontRef idx="minor">
      <a:schemeClr val="dk1">
        <a:lumMod val="75000"/>
        <a:lumOff val="25000"/>
      </a:schemeClr>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alpha val="85000"/>
        </a:schemeClr>
      </a:solidFill>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65000"/>
          <a:lumOff val="35000"/>
        </a:schemeClr>
      </a:solidFill>
      <a:ln w="9525" cap="flat" cmpd="sng" algn="ctr">
        <a:solidFill>
          <a:schemeClr val="dk1">
            <a:lumMod val="65000"/>
            <a:lumOff val="35000"/>
          </a:schemeClr>
        </a:solidFill>
        <a:round/>
      </a:ln>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15875" cap="flat" cmpd="sng" algn="ctr">
        <a:solidFill>
          <a:schemeClr val="dk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bodyPr rot="-60000000" vert="horz"/>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dk1">
        <a:lumMod val="75000"/>
        <a:lumOff val="25000"/>
      </a:schemeClr>
    </cs:fontRef>
    <cs:defRPr sz="1800" b="1" kern="1200" baseline="0"/>
    <cs:bodyPr rot="0" vert="horz"/>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cap="flat" cmpd="sng" algn="ctr">
        <a:solidFill>
          <a:schemeClr val="lt1">
            <a:lumMod val="85000"/>
          </a:schemeClr>
        </a:solidFill>
        <a:round/>
      </a:ln>
    </cs:spPr>
  </cs:upBar>
  <cs:valueAxis>
    <cs:lnRef idx="0"/>
    <cs:fillRef idx="0"/>
    <cs:effectRef idx="0"/>
    <cs:fontRef idx="minor">
      <a:schemeClr val="dk1">
        <a:lumMod val="75000"/>
        <a:lumOff val="25000"/>
      </a:schemeClr>
    </cs:fontRef>
    <cs:defRPr sz="900" kern="1200"/>
    <cs:bodyPr rot="-60000000" vert="horz"/>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40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baseline="0"/>
    <cs:bodyPr rot="-60000000" vert="horz"/>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cs:dataLabel>
  <cs:dataLabelCallout>
    <cs:lnRef idx="0"/>
    <cs:fillRef idx="0"/>
    <cs:effectRef idx="0"/>
    <cs:fontRef idx="minor">
      <a:schemeClr val="dk1">
        <a:lumMod val="75000"/>
        <a:lumOff val="25000"/>
      </a:schemeClr>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alpha val="85000"/>
        </a:schemeClr>
      </a:solidFill>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65000"/>
          <a:lumOff val="35000"/>
        </a:schemeClr>
      </a:solidFill>
      <a:ln w="9525" cap="flat" cmpd="sng" algn="ctr">
        <a:solidFill>
          <a:schemeClr val="dk1">
            <a:lumMod val="65000"/>
            <a:lumOff val="35000"/>
          </a:schemeClr>
        </a:solidFill>
        <a:round/>
      </a:ln>
    </cs:spPr>
  </cs:downBar>
  <cs:dropLine>
    <cs:lnRef idx="0"/>
    <cs:fillRef idx="0"/>
    <cs:effectRef idx="0"/>
    <cs:fontRef idx="minor">
      <a:schemeClr val="dk1"/>
    </cs:fontRef>
  </cs:dropLine>
  <cs:errorBar>
    <cs:lnRef idx="0"/>
    <cs:fillRef idx="0"/>
    <cs:effectRef idx="0"/>
    <cs:fontRef idx="minor">
      <a:schemeClr val="dk1"/>
    </cs:fontRef>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15875" cap="flat" cmpd="sng" algn="ctr">
        <a:solidFill>
          <a:schemeClr val="dk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bodyPr rot="-60000000" vert="horz"/>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dk1">
        <a:lumMod val="75000"/>
        <a:lumOff val="25000"/>
      </a:schemeClr>
    </cs:fontRef>
    <cs:defRPr sz="1800" b="1" kern="1200" baseline="0"/>
    <cs:bodyPr rot="0" vert="horz"/>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cap="flat" cmpd="sng" algn="ctr">
        <a:solidFill>
          <a:schemeClr val="lt1">
            <a:lumMod val="85000"/>
          </a:schemeClr>
        </a:solidFill>
        <a:round/>
      </a:ln>
    </cs:spPr>
  </cs:upBar>
  <cs:valueAxis>
    <cs:lnRef idx="0"/>
    <cs:fillRef idx="0"/>
    <cs:effectRef idx="0"/>
    <cs:fontRef idx="minor">
      <a:schemeClr val="dk1">
        <a:lumMod val="75000"/>
        <a:lumOff val="25000"/>
      </a:schemeClr>
    </cs:fontRef>
    <cs:defRPr sz="900" kern="1200"/>
    <cs:bodyPr rot="-60000000" vert="horz"/>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microsoft.com/office/2014/relationships/chartEx" Target="../charts/chartEx9.xml"/><Relationship Id="rId18" Type="http://schemas.openxmlformats.org/officeDocument/2006/relationships/chart" Target="../charts/chart5.xml"/><Relationship Id="rId3" Type="http://schemas.openxmlformats.org/officeDocument/2006/relationships/chart" Target="../charts/chart1.xml"/><Relationship Id="rId7" Type="http://schemas.microsoft.com/office/2014/relationships/chartEx" Target="../charts/chartEx4.xml"/><Relationship Id="rId12" Type="http://schemas.microsoft.com/office/2014/relationships/chartEx" Target="../charts/chartEx8.xml"/><Relationship Id="rId17" Type="http://schemas.microsoft.com/office/2014/relationships/chartEx" Target="../charts/chartEx13.xml"/><Relationship Id="rId2" Type="http://schemas.microsoft.com/office/2014/relationships/chartEx" Target="../charts/chartEx2.xml"/><Relationship Id="rId16" Type="http://schemas.microsoft.com/office/2014/relationships/chartEx" Target="../charts/chartEx12.xml"/><Relationship Id="rId1" Type="http://schemas.microsoft.com/office/2014/relationships/chartEx" Target="../charts/chartEx1.xml"/><Relationship Id="rId6" Type="http://schemas.openxmlformats.org/officeDocument/2006/relationships/chart" Target="../charts/chart3.xml"/><Relationship Id="rId11" Type="http://schemas.microsoft.com/office/2014/relationships/chartEx" Target="../charts/chartEx7.xml"/><Relationship Id="rId5" Type="http://schemas.microsoft.com/office/2014/relationships/chartEx" Target="../charts/chartEx3.xml"/><Relationship Id="rId15" Type="http://schemas.microsoft.com/office/2014/relationships/chartEx" Target="../charts/chartEx11.xml"/><Relationship Id="rId10" Type="http://schemas.microsoft.com/office/2014/relationships/chartEx" Target="../charts/chartEx6.xml"/><Relationship Id="rId4" Type="http://schemas.openxmlformats.org/officeDocument/2006/relationships/chart" Target="../charts/chart2.xml"/><Relationship Id="rId9" Type="http://schemas.microsoft.com/office/2014/relationships/chartEx" Target="../charts/chartEx5.xml"/><Relationship Id="rId14" Type="http://schemas.microsoft.com/office/2014/relationships/chartEx" Target="../charts/chartEx10.xml"/></Relationships>
</file>

<file path=xl/drawings/_rels/drawing2.xml.rels><?xml version="1.0" encoding="UTF-8" standalone="yes"?>
<Relationships xmlns="http://schemas.openxmlformats.org/package/2006/relationships"><Relationship Id="rId1" Type="http://schemas.microsoft.com/office/2014/relationships/chartEx" Target="../charts/chartEx1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microsoft.com/office/2014/relationships/chartEx" Target="../charts/chartEx15.xml"/></Relationships>
</file>

<file path=xl/drawings/drawing1.xml><?xml version="1.0" encoding="utf-8"?>
<xdr:wsDr xmlns:xdr="http://schemas.openxmlformats.org/drawingml/2006/spreadsheetDrawing" xmlns:a="http://schemas.openxmlformats.org/drawingml/2006/main">
  <xdr:twoCellAnchor>
    <xdr:from>
      <xdr:col>0</xdr:col>
      <xdr:colOff>104775</xdr:colOff>
      <xdr:row>4</xdr:row>
      <xdr:rowOff>55693</xdr:rowOff>
    </xdr:from>
    <xdr:to>
      <xdr:col>2</xdr:col>
      <xdr:colOff>181769</xdr:colOff>
      <xdr:row>8</xdr:row>
      <xdr:rowOff>46168</xdr:rowOff>
    </xdr:to>
    <xdr:sp macro="" textlink="'PIVOT TABLES'!B3">
      <xdr:nvSpPr>
        <xdr:cNvPr id="5" name="Rectangle 4">
          <a:extLst>
            <a:ext uri="{FF2B5EF4-FFF2-40B4-BE49-F238E27FC236}">
              <a16:creationId xmlns:a16="http://schemas.microsoft.com/office/drawing/2014/main" id="{00000000-0008-0000-0000-000005000000}"/>
            </a:ext>
            <a:ext uri="{147F2762-F138-4A5C-976F-8EAC2B608ADB}">
              <a16:predDERef xmlns:a16="http://schemas.microsoft.com/office/drawing/2014/main" pred="{48552C05-A290-4B4A-A67D-E53783C19418}"/>
            </a:ext>
          </a:extLst>
        </xdr:cNvPr>
        <xdr:cNvSpPr/>
      </xdr:nvSpPr>
      <xdr:spPr>
        <a:xfrm>
          <a:off x="104775" y="817693"/>
          <a:ext cx="1271949" cy="752475"/>
        </a:xfrm>
        <a:prstGeom prst="rect">
          <a:avLst/>
        </a:prstGeom>
        <a:solidFill>
          <a:schemeClr val="accent1">
            <a:lumMod val="75000"/>
          </a:schemeClr>
        </a:solidFill>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ctr"/>
          <a:fld id="{D2BCB379-A49A-4558-B166-3A0C63E6BF58}" type="TxLink">
            <a:rPr lang="en-US" sz="1800" b="0" i="0" u="none" strike="noStrike">
              <a:solidFill>
                <a:schemeClr val="bg1"/>
              </a:solidFill>
              <a:latin typeface="Aptos Narrow"/>
            </a:rPr>
            <a:pPr algn="ctr"/>
            <a:t>10855.15</a:t>
          </a:fld>
          <a:endParaRPr lang="en-US" sz="1800">
            <a:solidFill>
              <a:schemeClr val="bg1"/>
            </a:solidFill>
          </a:endParaRPr>
        </a:p>
      </xdr:txBody>
    </xdr:sp>
    <xdr:clientData/>
  </xdr:twoCellAnchor>
  <xdr:twoCellAnchor>
    <xdr:from>
      <xdr:col>0</xdr:col>
      <xdr:colOff>50800</xdr:colOff>
      <xdr:row>6</xdr:row>
      <xdr:rowOff>87710</xdr:rowOff>
    </xdr:from>
    <xdr:to>
      <xdr:col>2</xdr:col>
      <xdr:colOff>80169</xdr:colOff>
      <xdr:row>7</xdr:row>
      <xdr:rowOff>135335</xdr:rowOff>
    </xdr:to>
    <xdr:sp macro="" textlink="">
      <xdr:nvSpPr>
        <xdr:cNvPr id="2" name="TextBox 1">
          <a:extLst>
            <a:ext uri="{FF2B5EF4-FFF2-40B4-BE49-F238E27FC236}">
              <a16:creationId xmlns:a16="http://schemas.microsoft.com/office/drawing/2014/main" id="{00000000-0008-0000-0000-000002000000}"/>
            </a:ext>
            <a:ext uri="{147F2762-F138-4A5C-976F-8EAC2B608ADB}">
              <a16:predDERef xmlns:a16="http://schemas.microsoft.com/office/drawing/2014/main" pred="{08545568-EFB4-4CB7-B818-99AEF16E75CF}"/>
            </a:ext>
          </a:extLst>
        </xdr:cNvPr>
        <xdr:cNvSpPr txBox="1"/>
      </xdr:nvSpPr>
      <xdr:spPr>
        <a:xfrm>
          <a:off x="50800" y="1218804"/>
          <a:ext cx="1219994" cy="236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a:solidFill>
                <a:schemeClr val="bg1"/>
              </a:solidFill>
              <a:latin typeface="+mn-lt"/>
              <a:ea typeface="+mn-lt"/>
              <a:cs typeface="+mn-lt"/>
            </a:rPr>
            <a:t>REVENUE</a:t>
          </a:r>
        </a:p>
      </xdr:txBody>
    </xdr:sp>
    <xdr:clientData/>
  </xdr:twoCellAnchor>
  <xdr:twoCellAnchor>
    <xdr:from>
      <xdr:col>2</xdr:col>
      <xdr:colOff>287338</xdr:colOff>
      <xdr:row>4</xdr:row>
      <xdr:rowOff>52784</xdr:rowOff>
    </xdr:from>
    <xdr:to>
      <xdr:col>4</xdr:col>
      <xdr:colOff>344488</xdr:colOff>
      <xdr:row>8</xdr:row>
      <xdr:rowOff>52784</xdr:rowOff>
    </xdr:to>
    <xdr:sp macro="" textlink="'PIVOT TABLES'!B6">
      <xdr:nvSpPr>
        <xdr:cNvPr id="6" name="Rectangle 5">
          <a:extLst>
            <a:ext uri="{FF2B5EF4-FFF2-40B4-BE49-F238E27FC236}">
              <a16:creationId xmlns:a16="http://schemas.microsoft.com/office/drawing/2014/main" id="{00000000-0008-0000-0000-000006000000}"/>
            </a:ext>
            <a:ext uri="{147F2762-F138-4A5C-976F-8EAC2B608ADB}">
              <a16:predDERef xmlns:a16="http://schemas.microsoft.com/office/drawing/2014/main" pred="{6E9C81EE-0A1A-57DD-8B49-FC3D4FE409F8}"/>
            </a:ext>
          </a:extLst>
        </xdr:cNvPr>
        <xdr:cNvSpPr/>
      </xdr:nvSpPr>
      <xdr:spPr>
        <a:xfrm>
          <a:off x="1477963" y="806847"/>
          <a:ext cx="1267619" cy="754062"/>
        </a:xfrm>
        <a:prstGeom prst="rect">
          <a:avLst/>
        </a:prstGeom>
        <a:solidFill>
          <a:schemeClr val="accent1">
            <a:lumMod val="75000"/>
          </a:schemeClr>
        </a:solidFill>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4ED9F88A-E0DF-405A-8528-8DA69D2FA715}" type="TxLink">
            <a:rPr lang="en-US" sz="1800" b="0" i="0" u="none" strike="noStrike">
              <a:solidFill>
                <a:schemeClr val="bg1"/>
              </a:solidFill>
              <a:latin typeface="Aptos Narrow"/>
              <a:ea typeface="+mn-ea"/>
              <a:cs typeface="+mn-cs"/>
            </a:rPr>
            <a:pPr marL="0" indent="0" algn="ctr"/>
            <a:t>168</a:t>
          </a:fld>
          <a:endParaRPr lang="en-US" sz="1800" b="0" i="0" u="none" strike="noStrike">
            <a:solidFill>
              <a:schemeClr val="bg1"/>
            </a:solidFill>
            <a:latin typeface="Aptos Narrow"/>
            <a:ea typeface="+mn-ea"/>
            <a:cs typeface="+mn-cs"/>
          </a:endParaRPr>
        </a:p>
      </xdr:txBody>
    </xdr:sp>
    <xdr:clientData/>
  </xdr:twoCellAnchor>
  <xdr:twoCellAnchor>
    <xdr:from>
      <xdr:col>2</xdr:col>
      <xdr:colOff>344488</xdr:colOff>
      <xdr:row>6</xdr:row>
      <xdr:rowOff>146050</xdr:rowOff>
    </xdr:from>
    <xdr:to>
      <xdr:col>4</xdr:col>
      <xdr:colOff>354013</xdr:colOff>
      <xdr:row>8</xdr:row>
      <xdr:rowOff>5159</xdr:rowOff>
    </xdr:to>
    <xdr:sp macro="" textlink="">
      <xdr:nvSpPr>
        <xdr:cNvPr id="8" name="TextBox 7">
          <a:extLst>
            <a:ext uri="{FF2B5EF4-FFF2-40B4-BE49-F238E27FC236}">
              <a16:creationId xmlns:a16="http://schemas.microsoft.com/office/drawing/2014/main" id="{00000000-0008-0000-0000-000008000000}"/>
            </a:ext>
            <a:ext uri="{147F2762-F138-4A5C-976F-8EAC2B608ADB}">
              <a16:predDERef xmlns:a16="http://schemas.microsoft.com/office/drawing/2014/main" pred="{30D9FF1F-274E-4FD4-BBE2-B2E8C4BF90E2}"/>
            </a:ext>
          </a:extLst>
        </xdr:cNvPr>
        <xdr:cNvSpPr txBox="1"/>
      </xdr:nvSpPr>
      <xdr:spPr>
        <a:xfrm>
          <a:off x="1535113" y="1277144"/>
          <a:ext cx="1219994" cy="236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QUANTITY SOLD </a:t>
          </a:r>
          <a:endParaRPr lang="en-KE" sz="1200">
            <a:solidFill>
              <a:schemeClr val="bg1"/>
            </a:solidFill>
          </a:endParaRPr>
        </a:p>
      </xdr:txBody>
    </xdr:sp>
    <xdr:clientData/>
  </xdr:twoCellAnchor>
  <xdr:twoCellAnchor>
    <xdr:from>
      <xdr:col>4</xdr:col>
      <xdr:colOff>468313</xdr:colOff>
      <xdr:row>4</xdr:row>
      <xdr:rowOff>68659</xdr:rowOff>
    </xdr:from>
    <xdr:to>
      <xdr:col>6</xdr:col>
      <xdr:colOff>525463</xdr:colOff>
      <xdr:row>8</xdr:row>
      <xdr:rowOff>45640</xdr:rowOff>
    </xdr:to>
    <xdr:sp macro="" textlink="'PIVOT TABLES'!F4">
      <xdr:nvSpPr>
        <xdr:cNvPr id="13" name="Rectangle 12">
          <a:extLst>
            <a:ext uri="{FF2B5EF4-FFF2-40B4-BE49-F238E27FC236}">
              <a16:creationId xmlns:a16="http://schemas.microsoft.com/office/drawing/2014/main" id="{00000000-0008-0000-0000-00000D000000}"/>
            </a:ext>
            <a:ext uri="{147F2762-F138-4A5C-976F-8EAC2B608ADB}">
              <a16:predDERef xmlns:a16="http://schemas.microsoft.com/office/drawing/2014/main" pred="{B7559D8B-4D80-474C-ADBC-35AB4B7AE2E7}"/>
            </a:ext>
          </a:extLst>
        </xdr:cNvPr>
        <xdr:cNvSpPr/>
      </xdr:nvSpPr>
      <xdr:spPr>
        <a:xfrm>
          <a:off x="2869407" y="822722"/>
          <a:ext cx="1267619" cy="731043"/>
        </a:xfrm>
        <a:prstGeom prst="rect">
          <a:avLst/>
        </a:prstGeom>
        <a:solidFill>
          <a:schemeClr val="accent1">
            <a:lumMod val="75000"/>
          </a:schemeClr>
        </a:solidFill>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81E95756-BC8B-4E9D-B6D0-0909061FAFBA}" type="TxLink">
            <a:rPr lang="en-US" sz="1800" b="0" i="0" u="none" strike="noStrike">
              <a:solidFill>
                <a:schemeClr val="bg1"/>
              </a:solidFill>
              <a:latin typeface="Aptos Narrow"/>
              <a:ea typeface="+mn-ea"/>
              <a:cs typeface="+mn-cs"/>
            </a:rPr>
            <a:pPr marL="0" indent="0" algn="ctr"/>
            <a:t>70</a:t>
          </a:fld>
          <a:endParaRPr lang="en-US" sz="1800" b="0" i="0" u="none" strike="noStrike">
            <a:solidFill>
              <a:schemeClr val="bg1"/>
            </a:solidFill>
            <a:latin typeface="Aptos Narrow"/>
            <a:ea typeface="+mn-ea"/>
            <a:cs typeface="+mn-cs"/>
          </a:endParaRPr>
        </a:p>
      </xdr:txBody>
    </xdr:sp>
    <xdr:clientData/>
  </xdr:twoCellAnchor>
  <xdr:twoCellAnchor>
    <xdr:from>
      <xdr:col>4</xdr:col>
      <xdr:colOff>468313</xdr:colOff>
      <xdr:row>6</xdr:row>
      <xdr:rowOff>117475</xdr:rowOff>
    </xdr:from>
    <xdr:to>
      <xdr:col>6</xdr:col>
      <xdr:colOff>477838</xdr:colOff>
      <xdr:row>7</xdr:row>
      <xdr:rowOff>165100</xdr:rowOff>
    </xdr:to>
    <xdr:sp macro="" textlink="">
      <xdr:nvSpPr>
        <xdr:cNvPr id="14" name="TextBox 13">
          <a:extLst>
            <a:ext uri="{FF2B5EF4-FFF2-40B4-BE49-F238E27FC236}">
              <a16:creationId xmlns:a16="http://schemas.microsoft.com/office/drawing/2014/main" id="{00000000-0008-0000-0000-00000E000000}"/>
            </a:ext>
            <a:ext uri="{147F2762-F138-4A5C-976F-8EAC2B608ADB}">
              <a16:predDERef xmlns:a16="http://schemas.microsoft.com/office/drawing/2014/main" pred="{B85025CF-02D7-494B-B64B-BB6F0766D2D2}"/>
            </a:ext>
          </a:extLst>
        </xdr:cNvPr>
        <xdr:cNvSpPr txBox="1"/>
      </xdr:nvSpPr>
      <xdr:spPr>
        <a:xfrm>
          <a:off x="2869407" y="1248569"/>
          <a:ext cx="1219994" cy="236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ORDERS</a:t>
          </a:r>
          <a:endParaRPr lang="en-KE" sz="1200">
            <a:solidFill>
              <a:schemeClr val="bg1"/>
            </a:solidFill>
          </a:endParaRPr>
        </a:p>
      </xdr:txBody>
    </xdr:sp>
    <xdr:clientData/>
  </xdr:twoCellAnchor>
  <xdr:twoCellAnchor>
    <xdr:from>
      <xdr:col>0</xdr:col>
      <xdr:colOff>431295</xdr:colOff>
      <xdr:row>38</xdr:row>
      <xdr:rowOff>113542</xdr:rowOff>
    </xdr:from>
    <xdr:to>
      <xdr:col>6</xdr:col>
      <xdr:colOff>111810</xdr:colOff>
      <xdr:row>48</xdr:row>
      <xdr:rowOff>94491</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00000000-0008-0000-0000-00000F000000}"/>
                </a:ext>
                <a:ext uri="{147F2762-F138-4A5C-976F-8EAC2B608ADB}">
                  <a16:predDERef xmlns:a16="http://schemas.microsoft.com/office/drawing/2014/main" pred="{00000000-0008-0000-0000-00000E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263093</xdr:colOff>
      <xdr:row>39</xdr:row>
      <xdr:rowOff>12214</xdr:rowOff>
    </xdr:from>
    <xdr:to>
      <xdr:col>11</xdr:col>
      <xdr:colOff>205944</xdr:colOff>
      <xdr:row>49</xdr:row>
      <xdr:rowOff>163285</xdr:rowOff>
    </xdr:to>
    <mc:AlternateContent xmlns:mc="http://schemas.openxmlformats.org/markup-compatibility/2006">
      <mc:Choice xmlns:cx2="http://schemas.microsoft.com/office/drawing/2015/10/21/chartex" Requires="cx2">
        <xdr:graphicFrame macro="">
          <xdr:nvGraphicFramePr>
            <xdr:cNvPr id="16" name="Chart 15">
              <a:extLst>
                <a:ext uri="{FF2B5EF4-FFF2-40B4-BE49-F238E27FC236}">
                  <a16:creationId xmlns:a16="http://schemas.microsoft.com/office/drawing/2014/main" id="{00000000-0008-0000-0000-000010000000}"/>
                </a:ext>
                <a:ext uri="{147F2762-F138-4A5C-976F-8EAC2B608ADB}">
                  <a16:predDERef xmlns:a16="http://schemas.microsoft.com/office/drawing/2014/main" pred="{00000000-0008-0000-0000-00000F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463594</xdr:colOff>
      <xdr:row>25</xdr:row>
      <xdr:rowOff>80900</xdr:rowOff>
    </xdr:from>
    <xdr:to>
      <xdr:col>17</xdr:col>
      <xdr:colOff>764178</xdr:colOff>
      <xdr:row>36</xdr:row>
      <xdr:rowOff>80900</xdr:rowOff>
    </xdr:to>
    <xdr:graphicFrame macro="">
      <xdr:nvGraphicFramePr>
        <xdr:cNvPr id="20" name="Chart 19">
          <a:extLst>
            <a:ext uri="{FF2B5EF4-FFF2-40B4-BE49-F238E27FC236}">
              <a16:creationId xmlns:a16="http://schemas.microsoft.com/office/drawing/2014/main" id="{00000000-0008-0000-0000-000014000000}"/>
            </a:ext>
            <a:ext uri="{147F2762-F138-4A5C-976F-8EAC2B608ADB}">
              <a16:predDERef xmlns:a16="http://schemas.microsoft.com/office/drawing/2014/main" pre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12</xdr:col>
      <xdr:colOff>666750</xdr:colOff>
      <xdr:row>4</xdr:row>
      <xdr:rowOff>57150</xdr:rowOff>
    </xdr:from>
    <xdr:to>
      <xdr:col>17</xdr:col>
      <xdr:colOff>276225</xdr:colOff>
      <xdr:row>12</xdr:row>
      <xdr:rowOff>95250</xdr:rowOff>
    </xdr:to>
    <mc:AlternateContent xmlns:mc="http://schemas.openxmlformats.org/markup-compatibility/2006" xmlns:a14="http://schemas.microsoft.com/office/drawing/2010/main">
      <mc:Choice Requires="a14">
        <xdr:graphicFrame macro="">
          <xdr:nvGraphicFramePr>
            <xdr:cNvPr id="21" name="DAY">
              <a:extLst>
                <a:ext uri="{FF2B5EF4-FFF2-40B4-BE49-F238E27FC236}">
                  <a16:creationId xmlns:a16="http://schemas.microsoft.com/office/drawing/2014/main" id="{00000000-0008-0000-0000-000015000000}"/>
                </a:ext>
                <a:ext uri="{147F2762-F138-4A5C-976F-8EAC2B608ADB}">
                  <a16:predDERef xmlns:a16="http://schemas.microsoft.com/office/drawing/2014/main" pred="{00000000-0008-0000-0000-000014000000}"/>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6780609" y="793354"/>
              <a:ext cx="2674938" cy="14986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378801</xdr:colOff>
      <xdr:row>4</xdr:row>
      <xdr:rowOff>57150</xdr:rowOff>
    </xdr:from>
    <xdr:to>
      <xdr:col>12</xdr:col>
      <xdr:colOff>378801</xdr:colOff>
      <xdr:row>8</xdr:row>
      <xdr:rowOff>47626</xdr:rowOff>
    </xdr:to>
    <mc:AlternateContent xmlns:mc="http://schemas.openxmlformats.org/markup-compatibility/2006" xmlns:a14="http://schemas.microsoft.com/office/drawing/2010/main">
      <mc:Choice Requires="a14">
        <xdr:graphicFrame macro="">
          <xdr:nvGraphicFramePr>
            <xdr:cNvPr id="22" name="YEAR">
              <a:extLst>
                <a:ext uri="{FF2B5EF4-FFF2-40B4-BE49-F238E27FC236}">
                  <a16:creationId xmlns:a16="http://schemas.microsoft.com/office/drawing/2014/main" id="{00000000-0008-0000-0000-000016000000}"/>
                </a:ext>
                <a:ext uri="{147F2762-F138-4A5C-976F-8EAC2B608ADB}">
                  <a16:predDERef xmlns:a16="http://schemas.microsoft.com/office/drawing/2014/main" pred="{00000000-0008-0000-0000-000015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822705" y="819150"/>
              <a:ext cx="1824404" cy="752476"/>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104776</xdr:colOff>
      <xdr:row>1</xdr:row>
      <xdr:rowOff>28575</xdr:rowOff>
    </xdr:from>
    <xdr:to>
      <xdr:col>17</xdr:col>
      <xdr:colOff>1325218</xdr:colOff>
      <xdr:row>3</xdr:row>
      <xdr:rowOff>114300</xdr:rowOff>
    </xdr:to>
    <xdr:sp macro="" textlink="">
      <xdr:nvSpPr>
        <xdr:cNvPr id="7" name="TextBox 2">
          <a:extLst>
            <a:ext uri="{FF2B5EF4-FFF2-40B4-BE49-F238E27FC236}">
              <a16:creationId xmlns:a16="http://schemas.microsoft.com/office/drawing/2014/main" id="{00000000-0008-0000-0000-000007000000}"/>
            </a:ext>
            <a:ext uri="{147F2762-F138-4A5C-976F-8EAC2B608ADB}">
              <a16:predDERef xmlns:a16="http://schemas.microsoft.com/office/drawing/2014/main" pred="{4D3D0ADA-0813-4A99-9B0E-1DAA51596D76}"/>
            </a:ext>
          </a:extLst>
        </xdr:cNvPr>
        <xdr:cNvSpPr txBox="1"/>
      </xdr:nvSpPr>
      <xdr:spPr>
        <a:xfrm>
          <a:off x="104776" y="219075"/>
          <a:ext cx="12410246" cy="466725"/>
        </a:xfrm>
        <a:prstGeom prst="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lgn="ctr"/>
          <a:r>
            <a:rPr lang="en-US" sz="1800" b="0" i="0" u="none" strike="noStrike">
              <a:solidFill>
                <a:schemeClr val="bg1"/>
              </a:solidFill>
              <a:latin typeface="Aptos Narrow"/>
              <a:ea typeface="+mn-ea"/>
              <a:cs typeface="+mn-cs"/>
            </a:rPr>
            <a:t>STORE SALES REPORT </a:t>
          </a:r>
          <a:endParaRPr lang="en-KE" sz="1800" b="0" i="0" u="none" strike="noStrike">
            <a:solidFill>
              <a:schemeClr val="bg1"/>
            </a:solidFill>
            <a:latin typeface="Aptos Narrow"/>
            <a:ea typeface="+mn-ea"/>
            <a:cs typeface="+mn-cs"/>
          </a:endParaRPr>
        </a:p>
      </xdr:txBody>
    </xdr:sp>
    <xdr:clientData/>
  </xdr:twoCellAnchor>
  <xdr:twoCellAnchor>
    <xdr:from>
      <xdr:col>5</xdr:col>
      <xdr:colOff>602781</xdr:colOff>
      <xdr:row>13</xdr:row>
      <xdr:rowOff>96044</xdr:rowOff>
    </xdr:from>
    <xdr:to>
      <xdr:col>12</xdr:col>
      <xdr:colOff>76020</xdr:colOff>
      <xdr:row>23</xdr:row>
      <xdr:rowOff>172244</xdr:rowOff>
    </xdr:to>
    <xdr:graphicFrame macro="">
      <xdr:nvGraphicFramePr>
        <xdr:cNvPr id="9" name="Chart 6">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324864</xdr:colOff>
      <xdr:row>24</xdr:row>
      <xdr:rowOff>154377</xdr:rowOff>
    </xdr:from>
    <xdr:to>
      <xdr:col>13</xdr:col>
      <xdr:colOff>367392</xdr:colOff>
      <xdr:row>38</xdr:row>
      <xdr:rowOff>0</xdr:rowOff>
    </xdr:to>
    <mc:AlternateContent xmlns:mc="http://schemas.openxmlformats.org/markup-compatibility/2006">
      <mc:Choice xmlns:cx1="http://schemas.microsoft.com/office/drawing/2015/9/8/chartex" Requires="cx1">
        <xdr:graphicFrame macro="">
          <xdr:nvGraphicFramePr>
            <xdr:cNvPr id="4" name="Chart 10">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104775</xdr:colOff>
      <xdr:row>13</xdr:row>
      <xdr:rowOff>66134</xdr:rowOff>
    </xdr:from>
    <xdr:to>
      <xdr:col>5</xdr:col>
      <xdr:colOff>548878</xdr:colOff>
      <xdr:row>24</xdr:row>
      <xdr:rowOff>75659</xdr:rowOff>
    </xdr:to>
    <xdr:graphicFrame macro="">
      <xdr:nvGraphicFramePr>
        <xdr:cNvPr id="12" name="Chart 3">
          <a:extLst>
            <a:ext uri="{FF2B5EF4-FFF2-40B4-BE49-F238E27FC236}">
              <a16:creationId xmlns:a16="http://schemas.microsoft.com/office/drawing/2014/main" id="{00000000-0008-0000-0000-00000C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398318</xdr:colOff>
      <xdr:row>51</xdr:row>
      <xdr:rowOff>48708</xdr:rowOff>
    </xdr:from>
    <xdr:to>
      <xdr:col>8</xdr:col>
      <xdr:colOff>100445</xdr:colOff>
      <xdr:row>63</xdr:row>
      <xdr:rowOff>122923</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00000000-0008-0000-0000-000011000000}"/>
                </a:ext>
                <a:ext uri="{147F2762-F138-4A5C-976F-8EAC2B608ADB}">
                  <a16:predDERef xmlns:a16="http://schemas.microsoft.com/office/drawing/2014/main" pred="{00000000-0008-0000-0000-00000C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119992</xdr:colOff>
      <xdr:row>24</xdr:row>
      <xdr:rowOff>153246</xdr:rowOff>
    </xdr:from>
    <xdr:to>
      <xdr:col>7</xdr:col>
      <xdr:colOff>51405</xdr:colOff>
      <xdr:row>37</xdr:row>
      <xdr:rowOff>19896</xdr:rowOff>
    </xdr:to>
    <xdr:graphicFrame macro="">
      <xdr:nvGraphicFramePr>
        <xdr:cNvPr id="19" name="Chart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348817</xdr:colOff>
      <xdr:row>39</xdr:row>
      <xdr:rowOff>31815</xdr:rowOff>
    </xdr:from>
    <xdr:to>
      <xdr:col>16</xdr:col>
      <xdr:colOff>217713</xdr:colOff>
      <xdr:row>50</xdr:row>
      <xdr:rowOff>155639</xdr:rowOff>
    </xdr:to>
    <mc:AlternateContent xmlns:mc="http://schemas.openxmlformats.org/markup-compatibility/2006">
      <mc:Choice xmlns:cx2="http://schemas.microsoft.com/office/drawing/2015/10/21/chartex" Requires="cx2">
        <xdr:graphicFrame macro="">
          <xdr:nvGraphicFramePr>
            <xdr:cNvPr id="24" name="Chart 4">
              <a:extLst>
                <a:ext uri="{FF2B5EF4-FFF2-40B4-BE49-F238E27FC236}">
                  <a16:creationId xmlns:a16="http://schemas.microsoft.com/office/drawing/2014/main" id="{00000000-0008-0000-0000-000018000000}"/>
                </a:ext>
                <a:ext uri="{147F2762-F138-4A5C-976F-8EAC2B608ADB}">
                  <a16:predDERef xmlns:a16="http://schemas.microsoft.com/office/drawing/2014/main" pred="{00000000-0008-0000-0000-00001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50</xdr:col>
      <xdr:colOff>266700</xdr:colOff>
      <xdr:row>114</xdr:row>
      <xdr:rowOff>0</xdr:rowOff>
    </xdr:from>
    <xdr:to>
      <xdr:col>57</xdr:col>
      <xdr:colOff>260350</xdr:colOff>
      <xdr:row>130</xdr:row>
      <xdr:rowOff>102394</xdr:rowOff>
    </xdr:to>
    <mc:AlternateContent xmlns:mc="http://schemas.openxmlformats.org/markup-compatibility/2006">
      <mc:Choice xmlns:cx1="http://schemas.microsoft.com/office/drawing/2015/9/8/chartex" Requires="cx1">
        <xdr:graphicFrame macro="">
          <xdr:nvGraphicFramePr>
            <xdr:cNvPr id="36" name="Chart 35">
              <a:extLst>
                <a:ext uri="{FF2B5EF4-FFF2-40B4-BE49-F238E27FC236}">
                  <a16:creationId xmlns:a16="http://schemas.microsoft.com/office/drawing/2014/main" id="{00000000-0008-0000-0000-000024000000}"/>
                </a:ext>
                <a:ext uri="{147F2762-F138-4A5C-976F-8EAC2B608ADB}">
                  <a16:predDERef xmlns:a16="http://schemas.microsoft.com/office/drawing/2014/main" pred="{00000000-0008-0000-0000-000018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375520</xdr:colOff>
      <xdr:row>64</xdr:row>
      <xdr:rowOff>137649</xdr:rowOff>
    </xdr:from>
    <xdr:to>
      <xdr:col>8</xdr:col>
      <xdr:colOff>488917</xdr:colOff>
      <xdr:row>81</xdr:row>
      <xdr:rowOff>21365</xdr:rowOff>
    </xdr:to>
    <mc:AlternateContent xmlns:mc="http://schemas.openxmlformats.org/markup-compatibility/2006">
      <mc:Choice xmlns:cx1="http://schemas.microsoft.com/office/drawing/2015/9/8/chartex" Requires="cx1">
        <xdr:graphicFrame macro="">
          <xdr:nvGraphicFramePr>
            <xdr:cNvPr id="25" name="Chart 1">
              <a:extLst>
                <a:ext uri="{FF2B5EF4-FFF2-40B4-BE49-F238E27FC236}">
                  <a16:creationId xmlns:a16="http://schemas.microsoft.com/office/drawing/2014/main" id="{00000000-0008-0000-0000-000019000000}"/>
                </a:ext>
                <a:ext uri="{147F2762-F138-4A5C-976F-8EAC2B608ADB}">
                  <a16:predDERef xmlns:a16="http://schemas.microsoft.com/office/drawing/2014/main" pred="{00000000-0008-0000-0000-00002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438026</xdr:colOff>
      <xdr:row>81</xdr:row>
      <xdr:rowOff>177142</xdr:rowOff>
    </xdr:from>
    <xdr:to>
      <xdr:col>7</xdr:col>
      <xdr:colOff>24369</xdr:colOff>
      <xdr:row>93</xdr:row>
      <xdr:rowOff>24742</xdr:rowOff>
    </xdr:to>
    <mc:AlternateContent xmlns:mc="http://schemas.openxmlformats.org/markup-compatibility/2006">
      <mc:Choice xmlns:cx1="http://schemas.microsoft.com/office/drawing/2015/9/8/chartex" Requires="cx1">
        <xdr:graphicFrame macro="">
          <xdr:nvGraphicFramePr>
            <xdr:cNvPr id="26" name="Chart 1">
              <a:extLst>
                <a:ext uri="{FF2B5EF4-FFF2-40B4-BE49-F238E27FC236}">
                  <a16:creationId xmlns:a16="http://schemas.microsoft.com/office/drawing/2014/main" id="{00000000-0008-0000-0000-00001A000000}"/>
                </a:ext>
                <a:ext uri="{147F2762-F138-4A5C-976F-8EAC2B608ADB}">
                  <a16:predDERef xmlns:a16="http://schemas.microsoft.com/office/drawing/2014/main" pred="{00000000-0008-0000-0000-000019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104278</xdr:colOff>
      <xdr:row>82</xdr:row>
      <xdr:rowOff>73106</xdr:rowOff>
    </xdr:from>
    <xdr:to>
      <xdr:col>13</xdr:col>
      <xdr:colOff>193468</xdr:colOff>
      <xdr:row>93</xdr:row>
      <xdr:rowOff>120731</xdr:rowOff>
    </xdr:to>
    <mc:AlternateContent xmlns:mc="http://schemas.openxmlformats.org/markup-compatibility/2006">
      <mc:Choice xmlns:cx1="http://schemas.microsoft.com/office/drawing/2015/9/8/chartex" Requires="cx1">
        <xdr:graphicFrame macro="">
          <xdr:nvGraphicFramePr>
            <xdr:cNvPr id="28" name="Chart 2">
              <a:extLst>
                <a:ext uri="{FF2B5EF4-FFF2-40B4-BE49-F238E27FC236}">
                  <a16:creationId xmlns:a16="http://schemas.microsoft.com/office/drawing/2014/main" id="{00000000-0008-0000-0000-00001C000000}"/>
                </a:ext>
                <a:ext uri="{147F2762-F138-4A5C-976F-8EAC2B608ADB}">
                  <a16:predDERef xmlns:a16="http://schemas.microsoft.com/office/drawing/2014/main" pred="{00000000-0008-0000-0000-00001A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447425</xdr:colOff>
      <xdr:row>93</xdr:row>
      <xdr:rowOff>189882</xdr:rowOff>
    </xdr:from>
    <xdr:to>
      <xdr:col>7</xdr:col>
      <xdr:colOff>102548</xdr:colOff>
      <xdr:row>104</xdr:row>
      <xdr:rowOff>94632</xdr:rowOff>
    </xdr:to>
    <mc:AlternateContent xmlns:mc="http://schemas.openxmlformats.org/markup-compatibility/2006">
      <mc:Choice xmlns:cx1="http://schemas.microsoft.com/office/drawing/2015/9/8/chartex" Requires="cx1">
        <xdr:graphicFrame macro="">
          <xdr:nvGraphicFramePr>
            <xdr:cNvPr id="37" name="Chart 3">
              <a:extLst>
                <a:ext uri="{FF2B5EF4-FFF2-40B4-BE49-F238E27FC236}">
                  <a16:creationId xmlns:a16="http://schemas.microsoft.com/office/drawing/2014/main" id="{00000000-0008-0000-0000-00001D000000}"/>
                </a:ext>
                <a:ext uri="{147F2762-F138-4A5C-976F-8EAC2B608ADB}">
                  <a16:predDERef xmlns:a16="http://schemas.microsoft.com/office/drawing/2014/main" pred="{00000000-0008-0000-0000-00001C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601177</xdr:colOff>
      <xdr:row>65</xdr:row>
      <xdr:rowOff>55376</xdr:rowOff>
    </xdr:from>
    <xdr:to>
      <xdr:col>13</xdr:col>
      <xdr:colOff>751882</xdr:colOff>
      <xdr:row>74</xdr:row>
      <xdr:rowOff>160151</xdr:rowOff>
    </xdr:to>
    <mc:AlternateContent xmlns:mc="http://schemas.openxmlformats.org/markup-compatibility/2006">
      <mc:Choice xmlns:cx1="http://schemas.microsoft.com/office/drawing/2015/9/8/chartex" Requires="cx1">
        <xdr:graphicFrame macro="">
          <xdr:nvGraphicFramePr>
            <xdr:cNvPr id="30" name="Chart 6">
              <a:extLst>
                <a:ext uri="{FF2B5EF4-FFF2-40B4-BE49-F238E27FC236}">
                  <a16:creationId xmlns:a16="http://schemas.microsoft.com/office/drawing/2014/main" id="{00000000-0008-0000-0000-00001E000000}"/>
                </a:ext>
                <a:ext uri="{147F2762-F138-4A5C-976F-8EAC2B608ADB}">
                  <a16:predDERef xmlns:a16="http://schemas.microsoft.com/office/drawing/2014/main" pred="{00000000-0008-0000-0000-00001D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251856</xdr:colOff>
      <xdr:row>82</xdr:row>
      <xdr:rowOff>94013</xdr:rowOff>
    </xdr:from>
    <xdr:to>
      <xdr:col>17</xdr:col>
      <xdr:colOff>1040453</xdr:colOff>
      <xdr:row>92</xdr:row>
      <xdr:rowOff>84488</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00000000-0008-0000-0000-000027000000}"/>
                </a:ext>
                <a:ext uri="{147F2762-F138-4A5C-976F-8EAC2B608ADB}">
                  <a16:predDERef xmlns:a16="http://schemas.microsoft.com/office/drawing/2014/main" pred="{00000000-0008-0000-0000-00001E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0</xdr:colOff>
      <xdr:row>45</xdr:row>
      <xdr:rowOff>0</xdr:rowOff>
    </xdr:from>
    <xdr:to>
      <xdr:col>17</xdr:col>
      <xdr:colOff>304800</xdr:colOff>
      <xdr:row>46</xdr:row>
      <xdr:rowOff>127000</xdr:rowOff>
    </xdr:to>
    <xdr:sp macro="" textlink="">
      <xdr:nvSpPr>
        <xdr:cNvPr id="1025" name="AutoShape 1" descr="data:image/png;base64,iVBORw0KGgoAAAANSUhEUgAAAeIAAAFACAYAAABgPX9GAAAAAXNSR0IArs4c6QAAIABJREFUeF7t3X+IHOl95/GvEqxxr2NnM9uWDreJbVDPBBlJGCS17mKEBHawOCPitn2H8aBEEZ3jwjELpxNzkz/CkD+iDDodaDhy3DWKEtGLuVjdxMJmILbpQTiOWhKYlUBkfmDZ8bS5EW1lc77b9sgkCt/S1WxNTVV3PT3d+zzd9S4QOzv1dFU9r+ep+fTzdFX1HmFBAAEEEEAAAWsCe3TPT548efL8+fOPWjsKdowAAggggEAKBfbu3fsDL4iXl5dfTExMpJCAKiOAAAIIIGBPYGVlRQhie/7sGQEEEEAg5QIEcco7ANVHAAEEELArQBDb9WfvCCCAAAIpFyCIU94BqD4CCCCAgF0BgtiuP3tHAAEEEEi5AEGc8g5A9RFAAAEE7AoQxHb92TsCCCCAQMoFCOKUdwCqjwACCCBgV4AgtuvP3hFAAAEEUi5AEKe8A1B9BBBAAAG7AgSxXX/2jgACCCCQcgGCOOUdwKXqf+tb35LvfOc7W4c0OTkpX/rSl7b+P7xeV+zdu1e+/OUvy0c+8hGv3M9+9jO5efOm/PjHP95Wtfe///1y4cIFefXVVztuT1dGldXff+UrX9Fnskv4uPwNPnz4UGq12g7SD33oQ3Lu3Dl573vfm4j7hz/8obzxxhvy/PnzrfJRxxRXV33RJz/5SfnUpz61bX9xxxcsFHydXz5q32+99ZZcv37dswrXzT/+48eP7zgG0zbyjy1Y1+AxRvWJMHKxWBR9jn5Uv9Cyce2ZqLEohEAfBAjiPiCyid0LaMg9efJkW6jq7z7+8Y/L4cOHvR3oH90333xzW6D64ah/bLWc/wdbA8IPcf93rVZr2/ajthdXEz94NPg1IMOhrq/T4Pr6178e+8bAP8ZOWn6whMuG6xkMtGBdTVpCt/nTn/409k2Crm82m159P/vZz261Q/iNRzAYfWvdbpRR3HHHtZG/Lw33r371q97/fuADH4g85qi2Dwd5r1YmrpRFwFSAIDYVo3zfBfyQ05FjcAQc3lFUcIZfG/fH2B+lBQPFJIg1ZL/5zW/Kpz/9aS9s44IpHMR+HaLeaITr549A4wJbt6EjfT/gOgVPkkbqFMS+68mTJ+V73/ueN/INt01U6HarQ6c3EFFt5NdD2+r73/++fOITn/DaITgLkiRsd2uVxJMyCPQqQBD3Ksfr+iawmyD2/8DqwegUqS46BRkOjqiASBrEwT/in/vc5yK3r/uNGhEHR3Q63Rw3XavlwkHbLah3Gy6dgjho8+DBgx0zEeF6fexjH5MzZ85409Xd3lDFHXdciPv948iRI3L06FFvH/pzeOqdEXHfTkk29C4LEMTvMji7ixbo9vmrvqrXEXHcdGnSIA6P1PR19+7d2zEq6xTE4TcM4c+Lk7wZSTr6T9rH4oI4HGjdPvP1R/sawDpijxqtBo+p08cHUVPaYde4NywEcdKWp5xrAgSxay2S0uMJX3gUdQFN3GfEwc+W4y5girp4Ke5Cn/DUcHi/ccE0KkEcfuOR9E2EhmiUc7hLm7SRP1MQ/Cw7buScJIiTXMSX0lOQalsUIIgt4rPrnQLBP9LhK6KjgjN8RXL4j3Gni4eSjIijQijuimFbQRwOl7BbXD+LGxFHjfg7fcYdvMo7yRXIJm0UNVPg70+nw4OfWycJYi7W4q+OiwIEsYutwjGJ/8c2m81uXSFrEpzBP7hx075Jthc3+o0KpiRBHBcEJlPT/uejg/iMOG70649Co0a8/lSxBqOW63Z1eNRxx9U/avQb9+aKIOYPx7AKEMTD2nIpOO7wZ4FJgjPuj3HU54pJttftPtXwfbdxV013+5y12/SvNnc4lAYRxFH3MAe7WngGInhM/r26Wr7TfdMmbeRfOxDX3YOhTxCn4I/CiFaRIB7Rhh2FavUziHu5arpTOEat6zQi7nZFtLZX3D3Eui5qf4MI4rgL0fzjC16kFjVF32nk7PfJpFdNd5oliFpHEI/CWZ/OOhDE6Wx3p2rt36MbfABE1B/0JCPYuD/GUaHRbXvd7okNB+duH+gR/Hw8aqQXfiBJv4O42/R4+LPZqNDu9Jl8tyAOt5E+ZS3q6nR/O+GPBwhip05rDsZAgCA2wKLo4ASipoC7Xb0cdTSd/hiH/3DHTTv7Fzt997vf3fYAjfD+wsEU9wjJJBcwBbcdtZ2ox2T2O4i7vfEIhuxnPvMZ+drXvibhC6a0HnEXU3ULYl3vt9EXv/hFqdfr3kviprnDb9aSBHH4wjbdvukjSAd3FrDltAoQxGlteeqNAAIIIOCEAEHsRDNwEAgggAACaRUgiNPa8tQbAQQQQMAJAYLYiWbgIBBAAAEE0ipAEKe15ak3AggggIATAgSxE83AQSCAAAIIpFWAIE5ry1NvBBBAAAEnBAhiJ5qBg0AAAQQQSKsAQZzWlqfeCCCAAAJOCBDETjQDB4EAAgggkFYBgjitLU+9EUAAAQScEHAqiJ89eyZzc3OiD7d//fXXpVAoRCKVy2U5ffq0HDhwwFtfq9Xk1q1bol/DNjMzI5lMxglcDgIBBBBAAIFuAk4F8cLCghe++Xxe9Ofp6WkZHx/fVgf9/Ztvvimzs7NeEK+trUm1WvXKLi4uemX1ywJYEEAAAQQQGAYBZ4JYR8PB8NVRbi6X2zYq1t+tr697I15/RKy/88NXt1GpVKRUKjEqHobexzEigAACCIhTQRwM0WDAhtspODUdDOxwmHdq3/L9Z3LlTktWW5uSz47JpZNZKR3bPvqmfyCAAAIIINCLgEnGOBPEwSlmHfE2Gg1pNpuR08zBIPans3VKu91ui66bmpraMaUdhFSg+aWWlI7vl4P7MvL4aVvK9zZk5hRh3EuH4zUIIIAAAu8ImGZMKoN44uqKXDj6MoT9RcP4+oMNWbk4QX9CAAEEEECgZwHTjHEmiMOf7w5yanrP7CO5fW5yB/LZm8uyfH6sZ3xeiAACCCCAwOSNzdiMeXH50A4gp4K428Va/tGHPyPW3+uV0kkv1jJ9t0K3QgABBBBAIKmAacY4E8RawSS3L2m5YBD3cvuS6fx9UnzKIYAAAgggYJoxTgVx1AM9NGjr9bp3S1LUiFh/18sDPUyuaKNbIYAAAgggYCJgkjFOBbFJJftVVgH0iVwsCCCAAAII2BAgiAliG/2OfSKAAAII/H8Bgpgg5mRAAAEEELAoQBATxBa7H7tGAAEEECCICWLOAgQQQAABiwIEMUFssfuxawQQQAABgpgg5ixAAAEEELAoQBATxBa7H7tGAAEEECCICWLOAgQQQAABiwIEMUFssfuxawQQQAABgpgg5ixAAAEEELAoQBATxBa7H7tGAAEEECCICWLOAgQQQAABiwIEMUFssfuxawQQQAABgpgg5ixAIFZg/ivfkE8c+FX5jWOHdpT5q/uP5HtrfyczX/rXCCKAwC4EnAriqO8jDtYtbv3CwoLcvXvX+zrDmZkZyWQyiUn4GsTEVBRMoYCG7b/9wz+R//UHv7ctjON+n0IiqozArgWcCmIN1EKhIPl8XvTn6elpGR8f36pk1PrV1VVZXFz0Avjhw4fSbDalWCwmhiGIE1NRMKUC4dAlhFPaEaj2wAScCWId7QbDt1arSS6X84JZl7j1jUbDK6P/2u226Os0iLuNisv3n8mVOy1ZbW1KPjsml05mpXTsndAfmDgbRmAIBfzw1Wlona4Oj5CHsEocMgIDFTDJGKeCuFKpSKlU8kJUA1UXf3SrQRy1fn19fVsQl8tlmZqa2jaSDmsr0PxSS0rH98vBfRl5/LQt5XsbMnOKMB5oz0y48X9RnJbNn/88YWmKIYDA2HveI/+7tgCEIwKmGeNMEK+trUm1WvWmozWIdaQbnGaOW6+jZi2rr9P/vvHGGzI3N9cxiCeursiFoy9D2F80jK8/2JCVixOONCWHgYA7AoyI3WkLjsR9AdOMGfog1hGzf7HWkSNHvBDvNiLeM/tIbp+b3NGaZ28uy/L5MfdbmSNE4F0U+OvHT+Q/Xv9L+a8XflN+/eDHJPz/7+KhsCsEhkJg8sZmbMa8uLzzDgRngjhu6rnb1HTwwiz9jDjJ1LTpu5WhaHkOEoEBCHDV9ABQ2eTIC5hmjFNB3MvFWv7FXNqy4enruNY2nb8f+V5DBRGIEeA+YroGAuYCphnjTBBrVXu9fcn/LDl8gVcnPpMr2sybgVcggAACCKRZwCRjnAriqAd26Ci3Xq97V1NHrdfp6Pn5edGKnDhxwrtoy2ThPmITLcoigAACCPRbwKkg7nflkmyPIE6iRBkEEEAAgUEJEMQ8a3pQfYvtIoAAAggkECCICeIE3YQiCCCAAAKDEiCICeJB9S22iwACCCCQQIAgJogTdBOKIIAAAggMSoAgJogH1bfYLgIIIIBAAgGCmCBO0E0oggACCCAwKAGCmCAeVN9iuwgggAACCQQIYoI4QTehCAIIIIDAoAQIYoJ4UH2L7SKAAAIIJBAgiAniBN2EIggggAACgxIgiAniQfUttosAAgggkECAICaIE3QTiiCAAAIIDEqAICaIB9W32C4CCCCAQAIBp4I46msOg3WIW6/fQ3zr1i3JZrMyNzcn4+PjCar+sgjfvpSYioIIIIAAAgMQcCqIFxYWpFAoSD6fF/1Zv1s4GKpR6zWcq9WqV3ZxcdEjKhaLiakI4sRUFEQAAQQQGICAM0GsgRoMXx3l5nI5L5h1iVuv65rNphe+a2trUq/XpVQqJaYiiBNTURABBBBAYAACTgVxpVLxQjSTyYgGcXB0q0Ectf7w4cM9jYjL95/JlTstWW1tSj47JpdOZqV0LPmU9gDagk0igAACCIyIgEnGOBPEOpr1p5g1iBuNxtZIV9ul03ote+3aNTlx4oQ3Rd1tUaD5pZaUju+Xg/sy8vhpW8r3NmTmFGHczY71CCCAAAKdBUwzZuiDWKevNYg1gPW//s+dmCaursiFoy9D2F80jK8/2JCVixP0MQQQQAABBHoWMM0YZ4I4burZv/Aqbv36+rr3ObL+a7fbUi6XZWpqquOV03tmH8ntc5M7kM/eXJbl82M94/NCBBBAAAEEJm9sxmbMi8uHdgA5FcS9XKylI2DTIDZ9t0K3QgABBBBAIKmAacY4E8RawV5uX1pdXTWemjadv0+KTzkEEEAAAQRMM8apII56YEfwlqS4B3pogN+9e9fogR4mV7TRrRBAAAEEEDARMMkYp4LYpJL9Kst9xP2SZDsIIIAAAr0IEMQ8a7qXfsNrEEAAAQT6JEAQE8R96kpsBgEEEECgFwGCmCDupd/wGgQQQACBPgkQxARxn7oSm0EAAQQQ6EWAICaIe+k3vAYBBBBAoE8CBDFB3KeuxGYQQAABBHoRIIgJ4l76Da9BAAEEEOiTAEFMEPepK7EZBBBAAIFeBAhigriXfsNrEEAAAQT6JEAQE8R96kpsBgEEEECgFwGCmCDupd/wGgQQQACBPgkQxARxn7oSm0EAAQQQ6EWAICaIe+k3vAYBBBBAoE8CBDFB3KeuxGYQQAABBHoRcCqI475v2K9Y1Hr/u4j9MtlsVubm5mR8fDyRB1+DmIiJQggggAACAxJwKog1VAuFguTzedGfp6entwVqt/W1Wk3W19e91yVdCOKkUpRDAAEEEBiEgDNBrKPdYPhqqOZyOS+Ydem2vt1ue6///Oc/LwcOHOhqVb7/TK7caclqa1Py2TG5dDIrpWPJRtFdN04BBBBAAIFUC5hkjFNBXKlUpFQqSSaTEQ1iXYrF4lYQd1rfaDRE/yUZDSvQ/FJLSsf3y8F9GXn8tC3lexsyc4owTvWZQ+URQACBPgiYZowzQby2tibVatULUg1iDdVms7kVxN3W+9PW/gi6k+XE1RW5cPRlCPuLhvH1BxuycnGiD83AJhBAAAEE0ipgmjEjEcThaetujb9n9pHcPje5o9jZm8uyfH6s28tZjwACCCCAQKzA5I3N2Ix5cfnQjtc5E8Qapr1OTetouV6ve9PaSRbTdytJtkkZBBBAAAEEVMA0Y5wK4l4v1gp/ntytK5jO33fbHusRQAABBBDwBUwzxpkg1gp0uz0pbn34Cusk3cHkirYk26MMAggggAACwTBOemeOU0Ec9cCO4LRz3AM/yuWynD59OtFtS+Fuwn3EnDgIIIAAAjYFnApiGxAEsQ119okAAggg4AsQxDxrmrMBAQQQQMCiAEFMEFvsfuwaAQQQQIAgJog5CxBAAAEELAoQxASxxe7HrhFAAAEECGKCmLMAAQQQQMCiAEFMEFvsfuwaAQQQQIAgJog5CxBAAAEELAoQxASxxe7HrhFAAAEECGKCmLMAAQQQQMCiAEFMEFvsfuwaAQQQQIAgJog5CxBAAAEELAoQxASxxe7HrhFAAAEECGKCmLMAAQQQQMCigFNBHPc1h75P3PpGoyHXrl2TTCYjs7OzRl+HyLcvWex97BoBBBBAQJwK4oWFBSkUCpLP50V/np6elvHx8a1milqvKyuVipRKJWk2m1KtVr3XaSgnWQjiJEqUQQABBBAYlIAzQayj3WD41mo1yeVyXjDrErde12kAF4vFnowI4p7YeBECCCCAQJ8EnApif2Sro1kNYl38gNUgjlr/yiuveFPR+s9kKd9/JlfutGS1tSn57JhcOpmV0rF3Rt8m26IsAggggAACQQGTjHEmiNfW1rZNK+vnvsGRbtz6n/zkJ6Jh/I1vfCPxZ8QKNL/UktLx/XJwX0YeP21L+d6GzJwijDmVEEAAAQR2J2CaMUMfxOvr656Yfi6s4b24uCgzMzMdPyOeuLoiF46+DGF/0TC+/mBDVi5O7K4FeDUCCCCAQKoFTDPGmSCOm3ruNjWtre1/ltxut6VcLsvU1NS2i7zCPWLP7CO5fW5yR0c5e3NZls+PpboDUXkEEEAAgd0JTN7YjM2YF5cP7di4U0Hcy8VaOn1tGsSm71Z21yS8GgEEEEAgTQKmGeNMEGsj9XL7ko6k/VuWHj586E1P6zR1p8V0/j5NHYi6IoAAAgjsTsA0Y5wK4qgHduhFWvV63btPOO6BHnqF9a1btySbzcrc3FzHaWmf1+SKtt01Ca9GAAEEEEibgEnGOBXENhqK+4htqLNPBBBAAAFfgCDmWdOcDQgggAACFgUIYoLYYvdj1wgggAACBDFBzFmAAAIIIGBRgCAmiC12P3aNAAIIIEAQE8ScBQgggAACFgUIYoLYYvdj1wgggAACBDFBzFmAAAIIIGBRgCAmiC12P3aNAAIIIEAQE8ScBQgggAACFgUIYoLYYvdj1wgggAACBDFBzFmAAAIIIGBRgCAmiC12P3aNAAIIIEAQE8ScBQgggAACFgWcCuK4rzn0faLWt9ttmZ+fF62ILidOnOj6fcRBb759yWLvY9cIIIAAAl5+7VGH5eXlFxMTE1ZJFhYWpFAoSD6fF/15enp623cLR63XA44qm7QiBHFSKcohgAACCAxCwJkg1tFuMFBrtZrkcjkvmHWJW//aa69JtVr1QjuTyRgbEcTGZLwAAQQQQKCPAn0J4vbf3JL/U/2jrcN65V/9G3l/8T8bHaYGbaVSkVKp5AWqBrEuxWJxK4ij1mtY6+/ffvtted/73idzc3PbRtFxB1G+/0yu3GnJamtT8tkxuXQyK6Vj40bHTGEEEEAAAQSiBEwyZtdB/E9v/4O8dX1a3vfp35WxX/t1+cfW38lbf/af5NXf/i/yi9lfTdxCa2tr20a2jUZDms3mVhDHrdcdPHz4UGZmZrz/6ut0dNxpUaD5pZaUju+Xg/sy8vhpW8r3NmTmFGGcuMEoiAACCCAQKWCaMcZBrEH77L/9jvzCL43Lr/xeWX7hlV+WfoyIew1if8SsGuHp67g+MnF1RS4cfRnC/qJhfP3BhqxctPs5Of0aAQQQQGC4BUwzxjiIfZ7Nv/1r+Yc/vyTv+egR+ZV/9993rdbr1HQwiPUK6nK5LFNTUx2np/fMPpLb5yZ3HPPZm8uyfH5s13VhAwgggAAC6RWYvLEZmzEvLh/aAdNzEPtb8kfDH/j870vmX36hZ/leL9byL+byR8TBz5EZEffcHLwQAQQQQKBHgXdtRBw+vr//H/9efv6DN+WXf+uK91lxL0svty8tLS15u9KRcfgCr7hjMJ2/76UuvAYBBBBAIJ0CphnT04j4p7U/lre/+xdbwv5oWC/c+vs/Kck//d9nMv4f/tToYi1/RKtXPbdaLXn99de9W5f0s+N6ve5dTd3tgR56H7RetJXkNiaTK9rS2ZWoNQIIIIBArwImGWMcxOGrovWz4v/3zf8pr15Y8C7cGraF+4iHrcU4XgQQQGC0BIyDWKsfNyIeRhqCeBhbjWNGAAEERkegpyAeneqL94xP24/2HCVP6oIAAgggYCZAEBPEZj2G0ggggAACfRUgiAnivnYoNoYAAgggYCZAEBPEZj2G0ggggAACfRUgiAnivnYoNoYAAgggYCZAEBPEZj2G0ggggAACfRUgiAnivnYoNoYAAgggYCZAEBPEZj2G0ggggAACfRUgiAnivnYoNoYAAgggYCZAEBPEZj2G0ggggAACfRUgiAnivnYoNoYAAgggYCZAEBPEZj2G0ggggAACfRUgiAnivnYoNoYAAgggYCbgVBBHfd9wsDqd1uv3FpfLZe/7iMfHxxMr8KUPiakoiAACCCAwAAGngnhhYUEKhYLk83nRn6enp7eFaqf1tVpNlpaWZG5ujiAeQEdhkwgggAACgxFwJoh1tBsMXw3WXC7nBbMundbruvn5eclkMjvCuxsbI+JuQqxHAAEEEBikgFNBXKlUpFQqeYGqQaxLsVjcCuK49Y1GwxsN6+umpqYSjYjL95/JlTstWW1tSj47JpdOZqV0LPmU9iAbhW0jgAACCAy3gEnGOBPE+hlvtVr1RrQaqBquzWZzK4jj1p85c8YbSet/NYyTBLECzS+1pHR8vxzcl5HHT9tSvrchM6cI4+Hu+hw9AgggYF/ANGOGPogPHz7sBbiOpHXEnCSIJ66uyIWjL0PYXzSMrz/YkJWLE/ZbkSNAAAEEEBhaAdOMcSaI9XPeXqam19fXvc+RNZD1qukkQbxn9pHcPje5o5HP3lyW5fNjQ9v4HDgCCCCAgH2ByRubsRnz4vKhHQfoVBCbXqz1wQ9+UL797W+LVsJfstls1yunTd+t2G9WjgABBBBAYFgETDPGmSBW4N3cvtRutxOPiE3n74el8TlOBBBAAAH7AqYZ41QQRz2wQy/Sqtfr3mfAnR7oYRLE2kwmV7TZb1aOAAEEEEBgmARMMsapILaBzH3ENtTZJwIIIICAL0AQ86xpzgYEEEAAAYsCBDFBbLH7sWsEEEAAAYKYIOYsQAABBBCwKEAQE8QWux+7RgABBBAgiAlizgIEEEAAAYsCBDFBbLH7sWsEEEAAAYKYIOYsQAABBBCwKEAQE8QWux+7RgABBBAgiAlizgIEEEAAAYsCBDFBbLH7sWsEEEAAAYKYIOYsQAABBBCwKEAQE8QWux+7RgABBBAgiAlizgIEEEAAAYsCTgVxp685VKOo9fr1h/Pz8+J/i9LMzIxkMpnEpHz7UmIqCiKAAAIIDEDAqSBeWFiQQqEg+Xxe9Ofp6WkZHx/fqnbU+tXVVWk2m1IsFqVWq3ll9eekC0GcVIpyCCCAAAKDEHAmiHW0GwxfDdVcLucFsz8a7rRey6ytrUm9XpdSqZTYiiBOTEVBBBBAAIEBCDgVxJVKxQtRnVoOj241qDutVxuTEXH5/jO5cqclq61NyWfH5NLJrJSOvTP6HoA1m0QAAQQQSImAScY4E8Q6mq1Wq950tAZxo9HYmnL2R7tx6/3PibVcks+IFWh+qSWl4/vl4L6MPH7alvK9DZk5RRin5ByhmggggMDABEwzZiSC2NfU8NZ/GuadlomrK3Lh6MsQ9hcN4+sPNmTl4sTAGocNI4AAAgiMvoBpxjgTxN2mnrut16bVkXG5XJapqaltF3mFm33P7CO5fW5yR284e3NZls+PjX4voYYIIIAAAgMTmLyxGZsxLy4f2rFfp4J4txdrhS/4ilM2fbcysNZiwwgggAACIydgmjHOBLG2RC+3Ly0tLXmNqLcsJZ2aNp2/H7leQoUQQAABBAYmYJoxTgVx1AM7grckdXugRzablbm5uY7T0r68yRVtA2stNowAAgggMJICJhnjVBDbaA3uI7ahzj4RQAABBHwBgphnTXM2IIAAAghYFCCICWKL3Y9dI4AAAggQxAQxZwECCCCAgEUBgpggttj92DUCCCCAAEFMEHMWIIAAAghYFCCICWKL3Y9dI4AAAggQxAQxZwECCCCAgEUBgpggttj92DUCCCCAAEFMEHMWIIAAAghYFCCICWKL3Y9dI4AAAggQxAQxZwECCCCAgEUBgpggttj92DUCCCCAAEFMEHMWIIAAAghYFCCICWKL3Y9dI4AAAgg4FcRR3zccbKK49bVaTW7duiWZTEZmZ2flwIEDiVuWr0FMTEVBBBBAAIEBCDgVxAsLC1IoFCSfz4v+PD09LePj41vVjlqv4VytVr2yDx8+lMXFRZmZmfFCOclCECdRogwCCCCAwKAEnAliDdRg+OooN5fLecGsS9z6ZrO5Va7dbku5XJapqaltAd4JjyAeVNdiuwgggAACSQScCuJKpSKlUskbzWoQ61IsFreCuNP6qLDuBFC+/0yu3GnJamtT8tkxuXQyK6Vj74y+k+BRBgEEEEAAgSgBk4xxJojX1ta2ppg1iBuNhuho1w/ibusVQl+j/3SaulsIzy+1pHR8vxzcl5HHT9tSvrchM6cIY04pBBBAAIHdCWgIm2TMyARxeOq6E+PE1RW5cPRlCPuLhvH1BxuycnFidy3AqxFAAAEEUi1gmjHOBLEGaa9T0/rZ8Pz8vJw5c2brM+VOvWDP7CO5fW5yR5GzN5dl+fxYqjsQlUcAAQQQ2J3A5I3N2Ix5cfnQjo07FcS9XKylF3Pp6z784Q8vatpLAAAG4ElEQVRvTWN3IzR9t9Jte6xHAAEEEEDAFzDNGGeCWCvQy+1Lq6urxrcsmc7f070QQAABBBBIKmCaMU4FcdQDO/QirXq97l1NHbVew/vu3btbPtlsVubm5rrevmRyRVtSfMohgAACCCCgAiYZ41QQ22g+7iO2oc4+EUAAAQR8AYKYZ01zNiCAAAIIWBQgiAlii92PXSOAAAIIEMQEMWcBAggggIBFAYKYILbY/dg1AggggABBTBBzFiCAAAIIWBQgiAlii92PXSOAAAIIEMQEMWcBAggggIBFAYKYILbY/dg1AggggABBTBBzFiCAAAIIWBQgiAlii92PXSOAAAIIEMQEMWcBAggggIBFAYKYILbY/dg1AggggABBTBBzFiCAAAIIWBRwKoijvuYwaNNpffDrEk08+fYlEy3KIoAAAgj0W8CpINbvFi4UCpLP50V/np6e3va9wnHrNYQvX74sR44c8V5jshDEJlqURQABBBDot4AzQayj3WD41mo1yeVyXjDrErdeQ3t+fl5Onz4tP/rRj6RUKhkZEcRGXBRGAAEEEOizgFNBXKlUvCDNZDKiQaxLsVjcCuJO602npsv3n8mVOy1ZbW1KPjsml05mpXRsvM+8bA4BBBBAII0CJhnjTBBrkFarVW9qWYO40WhIs9ncCuIk6+v1eqIRsQLNL7WkdHy/HNyXkcdP21K+tyEzpwjjNJ4w1BkBBBDop4BpxqQyiCeursiFoy9D2F80jK8/2JCVixP9bA+2hQACCCCQMgHTjHEmiPUz4HdranrP7CO5fW5yR9c4e3NZls+PpazLUF0EEEAAgX4KTN7YjM2YF5cP7diVU0Hcy8Va/sVcJp8Rm75b6WcDsS0EEEAAgdEWMM0YZ4JYm6XX25f0tSZBbDp/P9pdhtohgAACCPRTwDRjnAriqAd2BAO2nw/0MLmirZ8NxLYQQAABBEZfwCRjnApiG03DfcQ21NknAggggIAvQBDzrGnOBgQQQAABiwIEMUFssfuxawQQQAABgpgg5ixAAAEEELAoQBATxBa7H7tGAAEEECCICWLOAgQQQAABiwIEMUFssfuxawQQQAABgpgg5ixAAAEEELAoQBATxBa7H7tGAAEEECCICWLOAgQQQAABiwIEMUFssfuxawQQQAABgpgg5ixAAAEEELAoQBATxBa7H7tGAAEEECCICWLOAgQQQAABiwIEMUFssfuxawQQQAABp4K40/cNa1PFra/VanLr1i2ZmJiQmZkZyWQyiVuWr0FMTEVBBBBAAIEBCDgVxAsLC1IoFCSfz4v+PD09LePj41vVjlqv4VytVr2yi4uLXtlisZiYiiBOTEVBBBBAAIEBCDgTxBqowfDVUW4ul/OC2R8NR61vNptb4avbqFQqUiqVEo+KCeIB9Co2iQACCCCQWMCpIA6GqAZxcHQbDll/vZbxAzsc5kkUCOIkSpRBAAEEEBiUgDNBvLa2tjXFrJ/xNhoN0dGuP80ct359fd0bNeu/drst5XJZpqamtk1pd8IjiAfVtdguAggggEASAYKYq6aT9BPKIIAAAggMSMCZII6bevZHxIOamtYR9dtvvz0gXjaLAAIIIJBmgddee030X7eZ2T1aYHl5+YXe/mNrsXWxlq36sl8EEEAAAQRUwJkRsR6MjduX6AYIIIAAAgjYFHAqiKMe2KEXadXrde+WpEE80MMmPvtGAAEEEEDAqSCmORBAAAEEEEibAEGcthanvggggAACTgkQxE41BweDAAIIIJA2AYI4bS1OfRFAAAEEnBIgiJ1qDg4GAQQQQCBtAgRx2lqc+iKAAAIIOCVAEDvVHBwMAm4LhJ8B7/bRcnQIDIcAQTwc7cRRImBdQEP42rVr8oUvfMHoO7+tHzgHgIDjAgSx4w3E4SHggoA+WEe/2ez06dPes9n9Z8C7cGwcAwLDLkAQD3sLcvwIvIsCTE2/i9jsKjUCBHFqmpqKIrB7AYJ494ZsAYGwAEFMn0AAgcQCBHFiKgoikFiAIE5MRUEEECCI6QMI9F+AIO6/KVtEYGQFCOKRbVoqZlGAILaIz64RGDYBgnjYWozjHQYBgngYWoljRMARAYLYkYbgMEZKgCAeqeakMggggAACwyZAEA9bi3G8CCCAAAIjJUAQj1RzUhkEEEAAgWETIIiHrcU4XgQQQACBkRIgiEeqOakMAggggMCwCRDEw9ZiHC8CCCCAwEgJEMQj1ZxUBgEEEEBg2AQI4mFrMY4XAQQQQGCkBAjikWpOKoMAAgggMGwCBPGwtRjHiwACCCAwUgIE8Ug1J5VBAAEEEBg2ga0gfvLkyZPnz59/dNgqwPEigAACCCAwzAJ79+79wT8DO6x+ChnwUqAAAAAASUVORK5CYII=">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12261850" y="800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8</xdr:col>
      <xdr:colOff>209777</xdr:colOff>
      <xdr:row>51</xdr:row>
      <xdr:rowOff>122068</xdr:rowOff>
    </xdr:from>
    <xdr:to>
      <xdr:col>14</xdr:col>
      <xdr:colOff>313191</xdr:colOff>
      <xdr:row>63</xdr:row>
      <xdr:rowOff>141117</xdr:rowOff>
    </xdr:to>
    <mc:AlternateContent xmlns:mc="http://schemas.openxmlformats.org/markup-compatibility/2006">
      <mc:Choice xmlns:cx1="http://schemas.microsoft.com/office/drawing/2015/9/8/chartex" Requires="cx1">
        <xdr:graphicFrame macro="">
          <xdr:nvGraphicFramePr>
            <xdr:cNvPr id="10" name="Chart 11">
              <a:extLst>
                <a:ext uri="{FF2B5EF4-FFF2-40B4-BE49-F238E27FC236}">
                  <a16:creationId xmlns:a16="http://schemas.microsoft.com/office/drawing/2014/main" id="{E73EFF7E-7961-4C6C-9AFC-C2AA95A75A86}"/>
                </a:ext>
                <a:ext uri="{147F2762-F138-4A5C-976F-8EAC2B608ADB}">
                  <a16:predDERef xmlns:a16="http://schemas.microsoft.com/office/drawing/2014/main" pred="{00000000-0008-0000-0000-00000104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34637</xdr:colOff>
      <xdr:row>13</xdr:row>
      <xdr:rowOff>94347</xdr:rowOff>
    </xdr:from>
    <xdr:to>
      <xdr:col>17</xdr:col>
      <xdr:colOff>750995</xdr:colOff>
      <xdr:row>24</xdr:row>
      <xdr:rowOff>51954</xdr:rowOff>
    </xdr:to>
    <xdr:graphicFrame macro="">
      <xdr:nvGraphicFramePr>
        <xdr:cNvPr id="11" name="Chart 10">
          <a:extLst>
            <a:ext uri="{FF2B5EF4-FFF2-40B4-BE49-F238E27FC236}">
              <a16:creationId xmlns:a16="http://schemas.microsoft.com/office/drawing/2014/main" id="{E7D8A51D-2ABD-41AE-B777-3077D707ABC3}"/>
            </a:ext>
            <a:ext uri="{147F2762-F138-4A5C-976F-8EAC2B608ADB}">
              <a16:predDERef xmlns:a16="http://schemas.microsoft.com/office/drawing/2014/main" pred="{E73EFF7E-7961-4C6C-9AFC-C2AA95A75A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119580</xdr:colOff>
      <xdr:row>8</xdr:row>
      <xdr:rowOff>135265</xdr:rowOff>
    </xdr:from>
    <xdr:to>
      <xdr:col>2</xdr:col>
      <xdr:colOff>209860</xdr:colOff>
      <xdr:row>12</xdr:row>
      <xdr:rowOff>112246</xdr:rowOff>
    </xdr:to>
    <xdr:sp macro="" textlink="'PIVOT TABLES'!E359">
      <xdr:nvSpPr>
        <xdr:cNvPr id="3" name="Rectangle 2">
          <a:extLst>
            <a:ext uri="{FF2B5EF4-FFF2-40B4-BE49-F238E27FC236}">
              <a16:creationId xmlns:a16="http://schemas.microsoft.com/office/drawing/2014/main" id="{4186EAD9-254D-457E-B855-A9587EE95303}"/>
            </a:ext>
            <a:ext uri="{147F2762-F138-4A5C-976F-8EAC2B608ADB}">
              <a16:predDERef xmlns:a16="http://schemas.microsoft.com/office/drawing/2014/main" pred="{B7559D8B-4D80-474C-ADBC-35AB4B7AE2E7}"/>
            </a:ext>
          </a:extLst>
        </xdr:cNvPr>
        <xdr:cNvSpPr/>
      </xdr:nvSpPr>
      <xdr:spPr>
        <a:xfrm>
          <a:off x="119580" y="1659265"/>
          <a:ext cx="1282976" cy="738981"/>
        </a:xfrm>
        <a:prstGeom prst="rect">
          <a:avLst/>
        </a:prstGeom>
        <a:solidFill>
          <a:schemeClr val="accent1">
            <a:lumMod val="75000"/>
          </a:schemeClr>
        </a:solidFill>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5D2FBDF7-F170-4CD0-8BAA-1A68230DE654}" type="TxLink">
            <a:rPr lang="en-US" sz="1800" b="0" i="0" u="none" strike="noStrike">
              <a:solidFill>
                <a:schemeClr val="bg1"/>
              </a:solidFill>
              <a:latin typeface="Aptos Narrow"/>
              <a:ea typeface="+mn-ea"/>
              <a:cs typeface="+mn-cs"/>
            </a:rPr>
            <a:pPr marL="0" indent="0" algn="ctr"/>
            <a:t>155.1</a:t>
          </a:fld>
          <a:endParaRPr lang="en-US" sz="1800" b="0" i="0" u="none" strike="noStrike">
            <a:solidFill>
              <a:schemeClr val="bg1"/>
            </a:solidFill>
            <a:latin typeface="Aptos Narrow"/>
            <a:ea typeface="+mn-ea"/>
            <a:cs typeface="+mn-cs"/>
          </a:endParaRPr>
        </a:p>
      </xdr:txBody>
    </xdr:sp>
    <xdr:clientData/>
  </xdr:twoCellAnchor>
  <xdr:twoCellAnchor>
    <xdr:from>
      <xdr:col>0</xdr:col>
      <xdr:colOff>136145</xdr:colOff>
      <xdr:row>10</xdr:row>
      <xdr:rowOff>84689</xdr:rowOff>
    </xdr:from>
    <xdr:to>
      <xdr:col>2</xdr:col>
      <xdr:colOff>178800</xdr:colOff>
      <xdr:row>13</xdr:row>
      <xdr:rowOff>41412</xdr:rowOff>
    </xdr:to>
    <xdr:sp macro="" textlink="">
      <xdr:nvSpPr>
        <xdr:cNvPr id="18" name="TextBox 17">
          <a:extLst>
            <a:ext uri="{FF2B5EF4-FFF2-40B4-BE49-F238E27FC236}">
              <a16:creationId xmlns:a16="http://schemas.microsoft.com/office/drawing/2014/main" id="{AF6AFE06-0255-4A76-838A-D399C2023555}"/>
            </a:ext>
            <a:ext uri="{147F2762-F138-4A5C-976F-8EAC2B608ADB}">
              <a16:predDERef xmlns:a16="http://schemas.microsoft.com/office/drawing/2014/main" pred="{B85025CF-02D7-494B-B64B-BB6F0766D2D2}"/>
            </a:ext>
          </a:extLst>
        </xdr:cNvPr>
        <xdr:cNvSpPr txBox="1"/>
      </xdr:nvSpPr>
      <xdr:spPr>
        <a:xfrm>
          <a:off x="136145" y="1989689"/>
          <a:ext cx="1235351" cy="528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AVERAGE ORDER VALUE</a:t>
          </a:r>
          <a:endParaRPr lang="en-KE" sz="1200">
            <a:solidFill>
              <a:schemeClr val="bg1"/>
            </a:solidFill>
          </a:endParaRPr>
        </a:p>
      </xdr:txBody>
    </xdr:sp>
    <xdr:clientData/>
  </xdr:twoCellAnchor>
  <xdr:twoCellAnchor>
    <xdr:from>
      <xdr:col>2</xdr:col>
      <xdr:colOff>296828</xdr:colOff>
      <xdr:row>8</xdr:row>
      <xdr:rowOff>138578</xdr:rowOff>
    </xdr:from>
    <xdr:to>
      <xdr:col>4</xdr:col>
      <xdr:colOff>353978</xdr:colOff>
      <xdr:row>12</xdr:row>
      <xdr:rowOff>115559</xdr:rowOff>
    </xdr:to>
    <xdr:sp macro="" textlink="'PIVOT TABLES'!B363">
      <xdr:nvSpPr>
        <xdr:cNvPr id="23" name="Rectangle 22">
          <a:extLst>
            <a:ext uri="{FF2B5EF4-FFF2-40B4-BE49-F238E27FC236}">
              <a16:creationId xmlns:a16="http://schemas.microsoft.com/office/drawing/2014/main" id="{61677B91-8DE3-4A30-96CE-EC67D43719A6}"/>
            </a:ext>
            <a:ext uri="{147F2762-F138-4A5C-976F-8EAC2B608ADB}">
              <a16:predDERef xmlns:a16="http://schemas.microsoft.com/office/drawing/2014/main" pred="{B7559D8B-4D80-474C-ADBC-35AB4B7AE2E7}"/>
            </a:ext>
          </a:extLst>
        </xdr:cNvPr>
        <xdr:cNvSpPr/>
      </xdr:nvSpPr>
      <xdr:spPr>
        <a:xfrm>
          <a:off x="1489524" y="1662578"/>
          <a:ext cx="1282976" cy="738981"/>
        </a:xfrm>
        <a:prstGeom prst="rect">
          <a:avLst/>
        </a:prstGeom>
        <a:solidFill>
          <a:schemeClr val="accent1">
            <a:lumMod val="75000"/>
          </a:schemeClr>
        </a:solidFill>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CA220144-6D80-487F-8E9D-C9388C4E07ED}" type="TxLink">
            <a:rPr lang="en-US" sz="1800" b="0" i="0" u="none" strike="noStrike">
              <a:solidFill>
                <a:schemeClr val="bg1"/>
              </a:solidFill>
              <a:latin typeface="Aptos Narrow"/>
              <a:ea typeface="+mn-ea"/>
              <a:cs typeface="+mn-cs"/>
            </a:rPr>
            <a:pPr marL="0" indent="0" algn="ctr"/>
            <a:t>84.4</a:t>
          </a:fld>
          <a:endParaRPr lang="en-US" sz="1800" b="0" i="0" u="none" strike="noStrike">
            <a:solidFill>
              <a:schemeClr val="bg1"/>
            </a:solidFill>
            <a:latin typeface="Aptos Narrow"/>
            <a:ea typeface="+mn-ea"/>
            <a:cs typeface="+mn-cs"/>
          </a:endParaRPr>
        </a:p>
      </xdr:txBody>
    </xdr:sp>
    <xdr:clientData/>
  </xdr:twoCellAnchor>
  <xdr:twoCellAnchor>
    <xdr:from>
      <xdr:col>2</xdr:col>
      <xdr:colOff>313393</xdr:colOff>
      <xdr:row>10</xdr:row>
      <xdr:rowOff>88002</xdr:rowOff>
    </xdr:from>
    <xdr:to>
      <xdr:col>4</xdr:col>
      <xdr:colOff>322918</xdr:colOff>
      <xdr:row>13</xdr:row>
      <xdr:rowOff>44725</xdr:rowOff>
    </xdr:to>
    <xdr:sp macro="" textlink="">
      <xdr:nvSpPr>
        <xdr:cNvPr id="27" name="TextBox 26">
          <a:extLst>
            <a:ext uri="{FF2B5EF4-FFF2-40B4-BE49-F238E27FC236}">
              <a16:creationId xmlns:a16="http://schemas.microsoft.com/office/drawing/2014/main" id="{31379806-C537-416E-BF27-FD653A758653}"/>
            </a:ext>
            <a:ext uri="{147F2762-F138-4A5C-976F-8EAC2B608ADB}">
              <a16:predDERef xmlns:a16="http://schemas.microsoft.com/office/drawing/2014/main" pred="{B85025CF-02D7-494B-B64B-BB6F0766D2D2}"/>
            </a:ext>
          </a:extLst>
        </xdr:cNvPr>
        <xdr:cNvSpPr txBox="1"/>
      </xdr:nvSpPr>
      <xdr:spPr>
        <a:xfrm>
          <a:off x="1506089" y="1993002"/>
          <a:ext cx="1235351" cy="528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AVERAGE  RETAIL PRICE </a:t>
          </a:r>
          <a:endParaRPr lang="en-KE" sz="1200">
            <a:solidFill>
              <a:schemeClr val="bg1"/>
            </a:solidFill>
          </a:endParaRPr>
        </a:p>
      </xdr:txBody>
    </xdr:sp>
    <xdr:clientData/>
  </xdr:twoCellAnchor>
  <xdr:twoCellAnchor>
    <xdr:from>
      <xdr:col>4</xdr:col>
      <xdr:colOff>465793</xdr:colOff>
      <xdr:row>8</xdr:row>
      <xdr:rowOff>150174</xdr:rowOff>
    </xdr:from>
    <xdr:to>
      <xdr:col>6</xdr:col>
      <xdr:colOff>522943</xdr:colOff>
      <xdr:row>12</xdr:row>
      <xdr:rowOff>127155</xdr:rowOff>
    </xdr:to>
    <xdr:sp macro="" textlink="'PIVOT TABLES'!B366">
      <xdr:nvSpPr>
        <xdr:cNvPr id="31" name="Rectangle 30">
          <a:extLst>
            <a:ext uri="{FF2B5EF4-FFF2-40B4-BE49-F238E27FC236}">
              <a16:creationId xmlns:a16="http://schemas.microsoft.com/office/drawing/2014/main" id="{1C02AE2F-11B6-461C-8E3B-79D44DFC13DD}"/>
            </a:ext>
            <a:ext uri="{147F2762-F138-4A5C-976F-8EAC2B608ADB}">
              <a16:predDERef xmlns:a16="http://schemas.microsoft.com/office/drawing/2014/main" pred="{B7559D8B-4D80-474C-ADBC-35AB4B7AE2E7}"/>
            </a:ext>
          </a:extLst>
        </xdr:cNvPr>
        <xdr:cNvSpPr/>
      </xdr:nvSpPr>
      <xdr:spPr>
        <a:xfrm>
          <a:off x="2884315" y="1674174"/>
          <a:ext cx="1282976" cy="738981"/>
        </a:xfrm>
        <a:prstGeom prst="rect">
          <a:avLst/>
        </a:prstGeom>
        <a:solidFill>
          <a:schemeClr val="accent1">
            <a:lumMod val="75000"/>
          </a:schemeClr>
        </a:solidFill>
      </xdr:spPr>
      <xdr:style>
        <a:lnRef idx="2">
          <a:schemeClr val="accent2">
            <a:shade val="15000"/>
          </a:schemeClr>
        </a:lnRef>
        <a:fillRef idx="1">
          <a:schemeClr val="accent2"/>
        </a:fillRef>
        <a:effectRef idx="0">
          <a:schemeClr val="accent2"/>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ctr"/>
          <a:fld id="{742C0410-DE96-49E7-9717-31B4F1B161E8}" type="TxLink">
            <a:rPr lang="en-US" sz="1800" b="0" i="0" u="none" strike="noStrike">
              <a:solidFill>
                <a:schemeClr val="bg1"/>
              </a:solidFill>
              <a:latin typeface="Aptos Narrow"/>
              <a:ea typeface="+mn-ea"/>
              <a:cs typeface="+mn-cs"/>
            </a:rPr>
            <a:pPr marL="0" indent="0" algn="ctr"/>
            <a:t>57.0</a:t>
          </a:fld>
          <a:endParaRPr lang="en-US" sz="1800" b="0" i="0" u="none" strike="noStrike">
            <a:solidFill>
              <a:schemeClr val="bg1"/>
            </a:solidFill>
            <a:latin typeface="Aptos Narrow"/>
            <a:ea typeface="+mn-ea"/>
            <a:cs typeface="+mn-cs"/>
          </a:endParaRPr>
        </a:p>
      </xdr:txBody>
    </xdr:sp>
    <xdr:clientData/>
  </xdr:twoCellAnchor>
  <xdr:twoCellAnchor>
    <xdr:from>
      <xdr:col>4</xdr:col>
      <xdr:colOff>482358</xdr:colOff>
      <xdr:row>10</xdr:row>
      <xdr:rowOff>99598</xdr:rowOff>
    </xdr:from>
    <xdr:to>
      <xdr:col>6</xdr:col>
      <xdr:colOff>491883</xdr:colOff>
      <xdr:row>13</xdr:row>
      <xdr:rowOff>56321</xdr:rowOff>
    </xdr:to>
    <xdr:sp macro="" textlink="">
      <xdr:nvSpPr>
        <xdr:cNvPr id="32" name="TextBox 31">
          <a:extLst>
            <a:ext uri="{FF2B5EF4-FFF2-40B4-BE49-F238E27FC236}">
              <a16:creationId xmlns:a16="http://schemas.microsoft.com/office/drawing/2014/main" id="{549F6117-8CDB-4B25-B06A-3EE78FD23718}"/>
            </a:ext>
            <a:ext uri="{147F2762-F138-4A5C-976F-8EAC2B608ADB}">
              <a16:predDERef xmlns:a16="http://schemas.microsoft.com/office/drawing/2014/main" pred="{B85025CF-02D7-494B-B64B-BB6F0766D2D2}"/>
            </a:ext>
          </a:extLst>
        </xdr:cNvPr>
        <xdr:cNvSpPr txBox="1"/>
      </xdr:nvSpPr>
      <xdr:spPr>
        <a:xfrm>
          <a:off x="2900880" y="2004598"/>
          <a:ext cx="1235351" cy="528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RETAIL</a:t>
          </a:r>
          <a:r>
            <a:rPr lang="en-US" sz="1200" baseline="0">
              <a:solidFill>
                <a:schemeClr val="bg1"/>
              </a:solidFill>
            </a:rPr>
            <a:t> PRICE STB.DEV</a:t>
          </a:r>
          <a:endParaRPr lang="en-KE" sz="1200">
            <a:solidFill>
              <a:schemeClr val="bg1"/>
            </a:solidFill>
          </a:endParaRPr>
        </a:p>
      </xdr:txBody>
    </xdr:sp>
    <xdr:clientData/>
  </xdr:twoCellAnchor>
  <xdr:twoCellAnchor editAs="oneCell">
    <xdr:from>
      <xdr:col>9</xdr:col>
      <xdr:colOff>388326</xdr:colOff>
      <xdr:row>8</xdr:row>
      <xdr:rowOff>87923</xdr:rowOff>
    </xdr:from>
    <xdr:to>
      <xdr:col>12</xdr:col>
      <xdr:colOff>535597</xdr:colOff>
      <xdr:row>12</xdr:row>
      <xdr:rowOff>78398</xdr:rowOff>
    </xdr:to>
    <mc:AlternateContent xmlns:mc="http://schemas.openxmlformats.org/markup-compatibility/2006" xmlns:a14="http://schemas.microsoft.com/office/drawing/2010/main">
      <mc:Choice Requires="a14">
        <xdr:graphicFrame macro="">
          <xdr:nvGraphicFramePr>
            <xdr:cNvPr id="40" name="NONTH">
              <a:extLst>
                <a:ext uri="{FF2B5EF4-FFF2-40B4-BE49-F238E27FC236}">
                  <a16:creationId xmlns:a16="http://schemas.microsoft.com/office/drawing/2014/main" id="{04909930-23AB-4FED-8CCA-4F917978F98C}"/>
                </a:ext>
              </a:extLst>
            </xdr:cNvPr>
            <xdr:cNvGraphicFramePr/>
          </xdr:nvGraphicFramePr>
          <xdr:xfrm>
            <a:off x="0" y="0"/>
            <a:ext cx="0" cy="0"/>
          </xdr:xfrm>
          <a:graphic>
            <a:graphicData uri="http://schemas.microsoft.com/office/drawing/2010/slicer">
              <sle:slicer xmlns:sle="http://schemas.microsoft.com/office/drawing/2010/slicer" name="NONTH"/>
            </a:graphicData>
          </a:graphic>
        </xdr:graphicFrame>
      </mc:Choice>
      <mc:Fallback xmlns="">
        <xdr:sp macro="" textlink="">
          <xdr:nvSpPr>
            <xdr:cNvPr id="0" name=""/>
            <xdr:cNvSpPr>
              <a:spLocks noTextEdit="1"/>
            </xdr:cNvSpPr>
          </xdr:nvSpPr>
          <xdr:spPr>
            <a:xfrm>
              <a:off x="5832230" y="1611923"/>
              <a:ext cx="1971675" cy="7524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38100</xdr:colOff>
      <xdr:row>0</xdr:row>
      <xdr:rowOff>133350</xdr:rowOff>
    </xdr:from>
    <xdr:to>
      <xdr:col>17</xdr:col>
      <xdr:colOff>342900</xdr:colOff>
      <xdr:row>15</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1114425</xdr:colOff>
      <xdr:row>0</xdr:row>
      <xdr:rowOff>120650</xdr:rowOff>
    </xdr:from>
    <xdr:to>
      <xdr:col>6</xdr:col>
      <xdr:colOff>644525</xdr:colOff>
      <xdr:row>20</xdr:row>
      <xdr:rowOff>50800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720725</xdr:colOff>
      <xdr:row>2</xdr:row>
      <xdr:rowOff>50800</xdr:rowOff>
    </xdr:from>
    <xdr:to>
      <xdr:col>4</xdr:col>
      <xdr:colOff>2905125</xdr:colOff>
      <xdr:row>21</xdr:row>
      <xdr:rowOff>158750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701675</xdr:colOff>
      <xdr:row>1</xdr:row>
      <xdr:rowOff>63500</xdr:rowOff>
    </xdr:from>
    <xdr:to>
      <xdr:col>5</xdr:col>
      <xdr:colOff>320675</xdr:colOff>
      <xdr:row>20</xdr:row>
      <xdr:rowOff>171450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844550</xdr:colOff>
      <xdr:row>3</xdr:row>
      <xdr:rowOff>76200</xdr:rowOff>
    </xdr:from>
    <xdr:to>
      <xdr:col>7</xdr:col>
      <xdr:colOff>368300</xdr:colOff>
      <xdr:row>18</xdr:row>
      <xdr:rowOff>57150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31.587571990742" createdVersion="8" refreshedVersion="8" minRefreshableVersion="3" recordCount="70" xr:uid="{00000000-000A-0000-FFFF-FFFF02000000}">
  <cacheSource type="worksheet">
    <worksheetSource ref="A1:R71" sheet="DATA "/>
  </cacheSource>
  <cacheFields count="13">
    <cacheField name="Order No" numFmtId="0">
      <sharedItems containsSemiMixedTypes="0" containsString="0" containsNumber="1" containsInteger="1" minValue="1001" maxValue="1070"/>
    </cacheField>
    <cacheField name="Order Date" numFmtId="14">
      <sharedItems containsSemiMixedTypes="0" containsNonDate="0" containsDate="1" containsString="0" minDate="2024-01-01T00:00:00" maxDate="2024-02-05T00:00:00" count="35">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sharedItems>
      <fieldGroup par="12"/>
    </cacheField>
    <cacheField name="Customer Name" numFmtId="0">
      <sharedItems count="51">
        <s v="John Smith"/>
        <s v="Jane Doe"/>
        <s v="Michael Johnson"/>
        <s v="Emily Brown"/>
        <s v="David Wilson"/>
        <s v="Lisa Taylor"/>
        <s v="Daniel Martinez"/>
        <s v="Sarah Anderson"/>
        <s v="Christopher Thomas"/>
        <s v="Kimberly Garcia"/>
        <s v="William Hernandez"/>
        <s v="Melissa Lopez"/>
        <s v="Richard Perez"/>
        <s v="Jessica Gonzalez"/>
        <s v="Matthew Wilson"/>
        <s v="Amanda Martinez"/>
        <s v="James Johnson"/>
        <s v="Laura Brown"/>
        <s v="Daniel Smith"/>
        <s v="Jennifer Davis"/>
        <s v="Michael Garcia"/>
        <s v="Amy Hernandez"/>
        <s v="Christopher Rodriguez"/>
        <s v="Jessica Martinez"/>
        <s v="Sarah Smith"/>
        <s v="Matthew Johnson"/>
        <s v="Emily Davis"/>
        <s v="Daniel Wilson"/>
        <s v="Jennifer Martinez"/>
        <s v="Michael Smith"/>
        <s v="Jessica Johnson"/>
        <s v="David Brown"/>
        <s v="Sarah Garcia"/>
        <s v="Matthew Hernandez"/>
        <s v="Emily Rodriguez"/>
        <s v="Daniel Davis"/>
        <s v="Jennifer Smith"/>
        <s v="Sarah Johnson"/>
        <s v="Matthew Garcia"/>
        <s v="Daniel Hernandez"/>
        <s v="Michael Martinez"/>
        <s v="Jessica Wilson"/>
        <s v="David Rodriguez"/>
        <s v="Sarah Gonzalez"/>
        <s v="Matthew Smith"/>
        <s v="Emily Johnson"/>
        <s v="Daniel Brown"/>
        <s v="Jennifer Hernandez"/>
        <s v="Michael Davis"/>
        <s v="Jessica Smith"/>
        <s v="David Martinez"/>
      </sharedItems>
    </cacheField>
    <cacheField name="Ship Date" numFmtId="14">
      <sharedItems containsSemiMixedTypes="0" containsNonDate="0" containsDate="1" containsString="0" minDate="2024-01-03T00:00:00" maxDate="2024-02-09T00:00:00"/>
    </cacheField>
    <cacheField name="YEAR" numFmtId="14">
      <sharedItems count="1">
        <s v="2024"/>
      </sharedItems>
    </cacheField>
    <cacheField name="NONTH" numFmtId="14">
      <sharedItems count="2">
        <s v="January"/>
        <s v="February"/>
      </sharedItems>
    </cacheField>
    <cacheField name="DAY" numFmtId="14">
      <sharedItems count="7">
        <s v="Monday"/>
        <s v="Tuesday"/>
        <s v="Wednesday"/>
        <s v="Thursday"/>
        <s v="Friday"/>
        <s v="Saturday"/>
        <s v="Sunday"/>
      </sharedItems>
    </cacheField>
    <cacheField name="Retail Price (USD)" numFmtId="2">
      <sharedItems containsSemiMixedTypes="0" containsString="0" containsNumber="1" minValue="19.989999999999998" maxValue="199.99"/>
    </cacheField>
    <cacheField name="Order Quantity" numFmtId="2">
      <sharedItems containsSemiMixedTypes="0" containsString="0" containsNumber="1" containsInteger="1" minValue="1" maxValue="5" count="5">
        <n v="2"/>
        <n v="1"/>
        <n v="3"/>
        <n v="4"/>
        <n v="5"/>
      </sharedItems>
    </cacheField>
    <cacheField name="Tax (USD)" numFmtId="2">
      <sharedItems containsSemiMixedTypes="0" containsString="0" containsNumber="1" minValue="2.9990000000000001" maxValue="29.997"/>
    </cacheField>
    <cacheField name="Total (USD)" numFmtId="2">
      <sharedItems containsSemiMixedTypes="0" containsString="0" containsNumber="1" minValue="32.988999999999997" maxValue="329.96699999999998"/>
    </cacheField>
    <cacheField name="Days (Order Date)" numFmtId="0" databaseField="0">
      <fieldGroup base="1">
        <rangePr groupBy="days" startDate="2024-01-01T00:00:00" endDate="2024-02-05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02/2024"/>
        </groupItems>
      </fieldGroup>
    </cacheField>
    <cacheField name="Months (Order Date)" numFmtId="0" databaseField="0">
      <fieldGroup base="1">
        <rangePr groupBy="months" startDate="2024-01-01T00:00:00" endDate="2024-02-05T00:00:00"/>
        <groupItems count="14">
          <s v="&lt;01/01/2024"/>
          <s v="Jan"/>
          <s v="Feb"/>
          <s v="Mar"/>
          <s v="Apr"/>
          <s v="May"/>
          <s v="Jun"/>
          <s v="Jul"/>
          <s v="Aug"/>
          <s v="Sep"/>
          <s v="Oct"/>
          <s v="Nov"/>
          <s v="Dec"/>
          <s v="&gt;05/02/2024"/>
        </groupItems>
      </fieldGroup>
    </cacheField>
  </cacheFields>
  <extLst>
    <ext xmlns:x14="http://schemas.microsoft.com/office/spreadsheetml/2009/9/main" uri="{725AE2AE-9491-48be-B2B4-4EB974FC3084}">
      <x14:pivotCacheDefinition pivotCacheId="2647897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IE" refreshedDate="45850.621761921298" createdVersion="6" refreshedVersion="6" minRefreshableVersion="3" recordCount="1" xr:uid="{00000000-000A-0000-FFFF-FFFF03000000}">
  <cacheSource type="worksheet">
    <worksheetSource name="Table4"/>
  </cacheSource>
  <cacheFields count="3">
    <cacheField name="Average Selling Price (ASP)" numFmtId="0">
      <sharedItems containsSemiMixedTypes="0" containsString="0" containsNumber="1" minValue="34.995937499999997" maxValue="34.995937499999997"/>
    </cacheField>
    <cacheField name="Tax Rate" numFmtId="0">
      <sharedItems containsSemiMixedTypes="0" containsString="0" containsNumber="1" minValue="9.0909090909090884E-2" maxValue="9.0909090909090884E-2"/>
    </cacheField>
    <cacheField name="Units per Transaction" numFmtId="0">
      <sharedItems containsSemiMixedTypes="0" containsString="0" containsNumber="1" minValue="2.4615384615384617" maxValue="2.461538461538461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n v="1001"/>
    <x v="0"/>
    <x v="0"/>
    <d v="2024-01-03T00:00:00"/>
    <x v="0"/>
    <x v="0"/>
    <x v="0"/>
    <n v="49.99"/>
    <x v="0"/>
    <n v="9.9979999999999993"/>
    <n v="109.97799999999999"/>
  </r>
  <r>
    <n v="1002"/>
    <x v="0"/>
    <x v="1"/>
    <d v="2024-01-04T00:00:00"/>
    <x v="0"/>
    <x v="0"/>
    <x v="0"/>
    <n v="29.99"/>
    <x v="1"/>
    <n v="2.9990000000000001"/>
    <n v="32.988999999999997"/>
  </r>
  <r>
    <n v="1003"/>
    <x v="1"/>
    <x v="2"/>
    <d v="2024-01-07T00:00:00"/>
    <x v="0"/>
    <x v="0"/>
    <x v="1"/>
    <n v="99.99"/>
    <x v="2"/>
    <n v="29.997"/>
    <n v="329.96699999999998"/>
  </r>
  <r>
    <n v="1004"/>
    <x v="1"/>
    <x v="3"/>
    <d v="2024-01-03T00:00:00"/>
    <x v="0"/>
    <x v="0"/>
    <x v="1"/>
    <n v="19.989999999999998"/>
    <x v="3"/>
    <n v="7.9960000000000004"/>
    <n v="87.956000000000003"/>
  </r>
  <r>
    <n v="1005"/>
    <x v="2"/>
    <x v="4"/>
    <d v="2024-01-08T00:00:00"/>
    <x v="0"/>
    <x v="0"/>
    <x v="2"/>
    <n v="149.99"/>
    <x v="1"/>
    <n v="14.999000000000001"/>
    <n v="164.989"/>
  </r>
  <r>
    <n v="1006"/>
    <x v="2"/>
    <x v="5"/>
    <d v="2024-01-06T00:00:00"/>
    <x v="0"/>
    <x v="0"/>
    <x v="2"/>
    <n v="79.989999999999995"/>
    <x v="0"/>
    <n v="15.997999999999999"/>
    <n v="175.97800000000001"/>
  </r>
  <r>
    <n v="1007"/>
    <x v="3"/>
    <x v="6"/>
    <d v="2024-01-06T00:00:00"/>
    <x v="0"/>
    <x v="0"/>
    <x v="3"/>
    <n v="39.99"/>
    <x v="2"/>
    <n v="11.997"/>
    <n v="131.96700000000001"/>
  </r>
  <r>
    <n v="1008"/>
    <x v="3"/>
    <x v="7"/>
    <d v="2024-01-09T00:00:00"/>
    <x v="0"/>
    <x v="0"/>
    <x v="3"/>
    <n v="69.989999999999995"/>
    <x v="0"/>
    <n v="13.997999999999999"/>
    <n v="153.97800000000001"/>
  </r>
  <r>
    <n v="1009"/>
    <x v="4"/>
    <x v="8"/>
    <d v="2024-01-06T00:00:00"/>
    <x v="0"/>
    <x v="0"/>
    <x v="4"/>
    <n v="89.99"/>
    <x v="1"/>
    <n v="8.9990000000000006"/>
    <n v="98.989000000000004"/>
  </r>
  <r>
    <n v="1010"/>
    <x v="4"/>
    <x v="9"/>
    <d v="2024-01-08T00:00:00"/>
    <x v="0"/>
    <x v="0"/>
    <x v="4"/>
    <n v="199.99"/>
    <x v="1"/>
    <n v="19.998999999999999"/>
    <n v="219.989"/>
  </r>
  <r>
    <n v="1011"/>
    <x v="5"/>
    <x v="10"/>
    <d v="2024-01-07T00:00:00"/>
    <x v="0"/>
    <x v="0"/>
    <x v="5"/>
    <n v="29.99"/>
    <x v="4"/>
    <n v="14.994999999999999"/>
    <n v="164.94499999999999"/>
  </r>
  <r>
    <n v="1012"/>
    <x v="5"/>
    <x v="11"/>
    <d v="2024-01-08T00:00:00"/>
    <x v="0"/>
    <x v="0"/>
    <x v="5"/>
    <n v="79.989999999999995"/>
    <x v="0"/>
    <n v="15.997999999999999"/>
    <n v="175.97800000000001"/>
  </r>
  <r>
    <n v="1013"/>
    <x v="6"/>
    <x v="12"/>
    <d v="2024-01-09T00:00:00"/>
    <x v="0"/>
    <x v="0"/>
    <x v="6"/>
    <n v="49.99"/>
    <x v="2"/>
    <n v="14.997"/>
    <n v="164.96700000000001"/>
  </r>
  <r>
    <n v="1014"/>
    <x v="6"/>
    <x v="13"/>
    <d v="2024-01-12T00:00:00"/>
    <x v="0"/>
    <x v="0"/>
    <x v="6"/>
    <n v="129.99"/>
    <x v="1"/>
    <n v="12.999000000000001"/>
    <n v="142.989"/>
  </r>
  <r>
    <n v="1015"/>
    <x v="7"/>
    <x v="14"/>
    <d v="2024-01-13T00:00:00"/>
    <x v="0"/>
    <x v="0"/>
    <x v="0"/>
    <n v="19.989999999999998"/>
    <x v="3"/>
    <n v="7.9960000000000004"/>
    <n v="87.956000000000003"/>
  </r>
  <r>
    <n v="1016"/>
    <x v="7"/>
    <x v="15"/>
    <d v="2024-01-12T00:00:00"/>
    <x v="0"/>
    <x v="0"/>
    <x v="0"/>
    <n v="149.99"/>
    <x v="1"/>
    <n v="14.999000000000001"/>
    <n v="164.989"/>
  </r>
  <r>
    <n v="1017"/>
    <x v="8"/>
    <x v="16"/>
    <d v="2024-01-14T00:00:00"/>
    <x v="0"/>
    <x v="0"/>
    <x v="1"/>
    <n v="69.989999999999995"/>
    <x v="0"/>
    <n v="13.997999999999999"/>
    <n v="153.97800000000001"/>
  </r>
  <r>
    <n v="1018"/>
    <x v="8"/>
    <x v="17"/>
    <d v="2024-01-12T00:00:00"/>
    <x v="0"/>
    <x v="0"/>
    <x v="1"/>
    <n v="39.99"/>
    <x v="2"/>
    <n v="11.997"/>
    <n v="131.96700000000001"/>
  </r>
  <r>
    <n v="1019"/>
    <x v="9"/>
    <x v="18"/>
    <d v="2024-01-11T00:00:00"/>
    <x v="0"/>
    <x v="0"/>
    <x v="2"/>
    <n v="199.99"/>
    <x v="1"/>
    <n v="19.998999999999999"/>
    <n v="219.989"/>
  </r>
  <r>
    <n v="1020"/>
    <x v="9"/>
    <x v="19"/>
    <d v="2024-01-14T00:00:00"/>
    <x v="0"/>
    <x v="0"/>
    <x v="2"/>
    <n v="29.99"/>
    <x v="4"/>
    <n v="14.994999999999999"/>
    <n v="164.94499999999999"/>
  </r>
  <r>
    <n v="1021"/>
    <x v="10"/>
    <x v="20"/>
    <d v="2024-01-14T00:00:00"/>
    <x v="0"/>
    <x v="0"/>
    <x v="3"/>
    <n v="79.989999999999995"/>
    <x v="0"/>
    <n v="15.997999999999999"/>
    <n v="175.97800000000001"/>
  </r>
  <r>
    <n v="1022"/>
    <x v="10"/>
    <x v="21"/>
    <d v="2024-01-15T00:00:00"/>
    <x v="0"/>
    <x v="0"/>
    <x v="3"/>
    <n v="49.99"/>
    <x v="2"/>
    <n v="14.997"/>
    <n v="164.96700000000001"/>
  </r>
  <r>
    <n v="1023"/>
    <x v="11"/>
    <x v="22"/>
    <d v="2024-01-17T00:00:00"/>
    <x v="0"/>
    <x v="0"/>
    <x v="4"/>
    <n v="129.99"/>
    <x v="1"/>
    <n v="12.999000000000001"/>
    <n v="142.989"/>
  </r>
  <r>
    <n v="1024"/>
    <x v="11"/>
    <x v="23"/>
    <d v="2024-01-17T00:00:00"/>
    <x v="0"/>
    <x v="0"/>
    <x v="4"/>
    <n v="19.989999999999998"/>
    <x v="3"/>
    <n v="7.9960000000000004"/>
    <n v="87.956000000000003"/>
  </r>
  <r>
    <n v="1025"/>
    <x v="12"/>
    <x v="4"/>
    <d v="2024-01-17T00:00:00"/>
    <x v="0"/>
    <x v="0"/>
    <x v="5"/>
    <n v="149.99"/>
    <x v="1"/>
    <n v="14.999000000000001"/>
    <n v="164.989"/>
  </r>
  <r>
    <n v="1026"/>
    <x v="12"/>
    <x v="24"/>
    <d v="2024-01-14T00:00:00"/>
    <x v="0"/>
    <x v="0"/>
    <x v="5"/>
    <n v="69.989999999999995"/>
    <x v="0"/>
    <n v="13.997999999999999"/>
    <n v="153.97800000000001"/>
  </r>
  <r>
    <n v="1027"/>
    <x v="13"/>
    <x v="25"/>
    <d v="2024-01-18T00:00:00"/>
    <x v="0"/>
    <x v="0"/>
    <x v="6"/>
    <n v="39.99"/>
    <x v="2"/>
    <n v="11.997"/>
    <n v="131.96700000000001"/>
  </r>
  <r>
    <n v="1028"/>
    <x v="13"/>
    <x v="26"/>
    <d v="2024-01-19T00:00:00"/>
    <x v="0"/>
    <x v="0"/>
    <x v="6"/>
    <n v="199.99"/>
    <x v="1"/>
    <n v="19.998999999999999"/>
    <n v="219.989"/>
  </r>
  <r>
    <n v="1029"/>
    <x v="14"/>
    <x v="27"/>
    <d v="2024-01-19T00:00:00"/>
    <x v="0"/>
    <x v="0"/>
    <x v="0"/>
    <n v="29.99"/>
    <x v="4"/>
    <n v="14.994999999999999"/>
    <n v="164.94499999999999"/>
  </r>
  <r>
    <n v="1030"/>
    <x v="14"/>
    <x v="28"/>
    <d v="2024-01-19T00:00:00"/>
    <x v="0"/>
    <x v="0"/>
    <x v="0"/>
    <n v="79.989999999999995"/>
    <x v="0"/>
    <n v="15.997999999999999"/>
    <n v="175.97800000000001"/>
  </r>
  <r>
    <n v="1031"/>
    <x v="15"/>
    <x v="29"/>
    <d v="2024-01-19T00:00:00"/>
    <x v="0"/>
    <x v="0"/>
    <x v="1"/>
    <n v="49.99"/>
    <x v="2"/>
    <n v="14.997"/>
    <n v="164.96700000000001"/>
  </r>
  <r>
    <n v="1032"/>
    <x v="15"/>
    <x v="30"/>
    <d v="2024-01-17T00:00:00"/>
    <x v="0"/>
    <x v="0"/>
    <x v="1"/>
    <n v="129.99"/>
    <x v="1"/>
    <n v="12.999000000000001"/>
    <n v="142.989"/>
  </r>
  <r>
    <n v="1033"/>
    <x v="16"/>
    <x v="31"/>
    <d v="2024-01-19T00:00:00"/>
    <x v="0"/>
    <x v="0"/>
    <x v="2"/>
    <n v="19.989999999999998"/>
    <x v="3"/>
    <n v="7.9960000000000004"/>
    <n v="87.956000000000003"/>
  </r>
  <r>
    <n v="1034"/>
    <x v="16"/>
    <x v="32"/>
    <d v="2024-01-19T00:00:00"/>
    <x v="0"/>
    <x v="0"/>
    <x v="2"/>
    <n v="149.99"/>
    <x v="1"/>
    <n v="14.999000000000001"/>
    <n v="164.989"/>
  </r>
  <r>
    <n v="1035"/>
    <x v="17"/>
    <x v="33"/>
    <d v="2024-01-23T00:00:00"/>
    <x v="0"/>
    <x v="0"/>
    <x v="3"/>
    <n v="69.989999999999995"/>
    <x v="0"/>
    <n v="13.997999999999999"/>
    <n v="153.97800000000001"/>
  </r>
  <r>
    <n v="1036"/>
    <x v="17"/>
    <x v="34"/>
    <d v="2024-01-19T00:00:00"/>
    <x v="0"/>
    <x v="0"/>
    <x v="3"/>
    <n v="39.99"/>
    <x v="2"/>
    <n v="11.997"/>
    <n v="131.96700000000001"/>
  </r>
  <r>
    <n v="1037"/>
    <x v="18"/>
    <x v="35"/>
    <d v="2024-01-20T00:00:00"/>
    <x v="0"/>
    <x v="0"/>
    <x v="4"/>
    <n v="199.99"/>
    <x v="1"/>
    <n v="19.998999999999999"/>
    <n v="219.989"/>
  </r>
  <r>
    <n v="1038"/>
    <x v="18"/>
    <x v="36"/>
    <d v="2024-01-22T00:00:00"/>
    <x v="0"/>
    <x v="0"/>
    <x v="4"/>
    <n v="29.99"/>
    <x v="4"/>
    <n v="14.994999999999999"/>
    <n v="164.94499999999999"/>
  </r>
  <r>
    <n v="1039"/>
    <x v="19"/>
    <x v="2"/>
    <d v="2024-01-24T00:00:00"/>
    <x v="0"/>
    <x v="0"/>
    <x v="5"/>
    <n v="79.989999999999995"/>
    <x v="0"/>
    <n v="15.997999999999999"/>
    <n v="175.97800000000001"/>
  </r>
  <r>
    <n v="1040"/>
    <x v="19"/>
    <x v="23"/>
    <d v="2024-01-21T00:00:00"/>
    <x v="0"/>
    <x v="0"/>
    <x v="5"/>
    <n v="49.99"/>
    <x v="2"/>
    <n v="14.997"/>
    <n v="164.96700000000001"/>
  </r>
  <r>
    <n v="1041"/>
    <x v="20"/>
    <x v="4"/>
    <d v="2024-01-26T00:00:00"/>
    <x v="0"/>
    <x v="0"/>
    <x v="6"/>
    <n v="129.99"/>
    <x v="1"/>
    <n v="12.999000000000001"/>
    <n v="142.989"/>
  </r>
  <r>
    <n v="1042"/>
    <x v="20"/>
    <x v="37"/>
    <d v="2024-01-23T00:00:00"/>
    <x v="0"/>
    <x v="0"/>
    <x v="6"/>
    <n v="19.989999999999998"/>
    <x v="3"/>
    <n v="7.9960000000000004"/>
    <n v="87.956000000000003"/>
  </r>
  <r>
    <n v="1043"/>
    <x v="21"/>
    <x v="38"/>
    <d v="2024-01-25T00:00:00"/>
    <x v="0"/>
    <x v="0"/>
    <x v="0"/>
    <n v="149.99"/>
    <x v="1"/>
    <n v="14.999000000000001"/>
    <n v="164.989"/>
  </r>
  <r>
    <n v="1044"/>
    <x v="21"/>
    <x v="3"/>
    <d v="2024-01-25T00:00:00"/>
    <x v="0"/>
    <x v="0"/>
    <x v="0"/>
    <n v="69.989999999999995"/>
    <x v="0"/>
    <n v="13.997999999999999"/>
    <n v="153.97800000000001"/>
  </r>
  <r>
    <n v="1045"/>
    <x v="22"/>
    <x v="39"/>
    <d v="2024-01-27T00:00:00"/>
    <x v="0"/>
    <x v="0"/>
    <x v="1"/>
    <n v="39.99"/>
    <x v="2"/>
    <n v="11.997"/>
    <n v="131.96700000000001"/>
  </r>
  <r>
    <n v="1046"/>
    <x v="22"/>
    <x v="19"/>
    <d v="2024-01-26T00:00:00"/>
    <x v="0"/>
    <x v="0"/>
    <x v="1"/>
    <n v="199.99"/>
    <x v="1"/>
    <n v="19.998999999999999"/>
    <n v="219.989"/>
  </r>
  <r>
    <n v="1047"/>
    <x v="23"/>
    <x v="40"/>
    <d v="2024-01-25T00:00:00"/>
    <x v="0"/>
    <x v="0"/>
    <x v="2"/>
    <n v="29.99"/>
    <x v="4"/>
    <n v="14.994999999999999"/>
    <n v="164.94499999999999"/>
  </r>
  <r>
    <n v="1048"/>
    <x v="23"/>
    <x v="41"/>
    <d v="2024-01-26T00:00:00"/>
    <x v="0"/>
    <x v="0"/>
    <x v="2"/>
    <n v="79.989999999999995"/>
    <x v="0"/>
    <n v="15.997999999999999"/>
    <n v="175.97800000000001"/>
  </r>
  <r>
    <n v="1049"/>
    <x v="24"/>
    <x v="42"/>
    <d v="2024-01-30T00:00:00"/>
    <x v="0"/>
    <x v="0"/>
    <x v="3"/>
    <n v="49.99"/>
    <x v="2"/>
    <n v="14.997"/>
    <n v="164.96700000000001"/>
  </r>
  <r>
    <n v="1050"/>
    <x v="24"/>
    <x v="43"/>
    <d v="2024-01-27T00:00:00"/>
    <x v="0"/>
    <x v="0"/>
    <x v="3"/>
    <n v="129.99"/>
    <x v="1"/>
    <n v="12.999000000000001"/>
    <n v="142.989"/>
  </r>
  <r>
    <n v="1051"/>
    <x v="25"/>
    <x v="44"/>
    <d v="2024-01-29T00:00:00"/>
    <x v="0"/>
    <x v="0"/>
    <x v="4"/>
    <n v="19.989999999999998"/>
    <x v="3"/>
    <n v="7.9960000000000004"/>
    <n v="87.956000000000003"/>
  </r>
  <r>
    <n v="1052"/>
    <x v="25"/>
    <x v="45"/>
    <d v="2024-01-28T00:00:00"/>
    <x v="0"/>
    <x v="0"/>
    <x v="4"/>
    <n v="149.99"/>
    <x v="1"/>
    <n v="14.999000000000001"/>
    <n v="164.989"/>
  </r>
  <r>
    <n v="1053"/>
    <x v="26"/>
    <x v="46"/>
    <d v="2024-01-31T00:00:00"/>
    <x v="0"/>
    <x v="0"/>
    <x v="5"/>
    <n v="69.989999999999995"/>
    <x v="0"/>
    <n v="13.997999999999999"/>
    <n v="153.97800000000001"/>
  </r>
  <r>
    <n v="1054"/>
    <x v="26"/>
    <x v="47"/>
    <d v="2024-01-31T00:00:00"/>
    <x v="0"/>
    <x v="0"/>
    <x v="5"/>
    <n v="39.99"/>
    <x v="2"/>
    <n v="11.997"/>
    <n v="131.96700000000001"/>
  </r>
  <r>
    <n v="1055"/>
    <x v="27"/>
    <x v="48"/>
    <d v="2024-01-29T00:00:00"/>
    <x v="0"/>
    <x v="0"/>
    <x v="6"/>
    <n v="199.99"/>
    <x v="1"/>
    <n v="19.998999999999999"/>
    <n v="219.989"/>
  </r>
  <r>
    <n v="1056"/>
    <x v="27"/>
    <x v="49"/>
    <d v="2024-01-29T00:00:00"/>
    <x v="0"/>
    <x v="0"/>
    <x v="6"/>
    <n v="29.99"/>
    <x v="4"/>
    <n v="14.994999999999999"/>
    <n v="164.94499999999999"/>
  </r>
  <r>
    <n v="1057"/>
    <x v="28"/>
    <x v="50"/>
    <d v="2024-01-30T00:00:00"/>
    <x v="0"/>
    <x v="0"/>
    <x v="0"/>
    <n v="79.989999999999995"/>
    <x v="0"/>
    <n v="15.997999999999999"/>
    <n v="175.97800000000001"/>
  </r>
  <r>
    <n v="1058"/>
    <x v="28"/>
    <x v="37"/>
    <d v="2024-01-31T00:00:00"/>
    <x v="0"/>
    <x v="0"/>
    <x v="0"/>
    <n v="49.99"/>
    <x v="2"/>
    <n v="14.997"/>
    <n v="164.96700000000001"/>
  </r>
  <r>
    <n v="1059"/>
    <x v="29"/>
    <x v="38"/>
    <d v="2024-01-31T00:00:00"/>
    <x v="0"/>
    <x v="0"/>
    <x v="1"/>
    <n v="129.99"/>
    <x v="1"/>
    <n v="12.999000000000001"/>
    <n v="142.989"/>
  </r>
  <r>
    <n v="1060"/>
    <x v="29"/>
    <x v="3"/>
    <d v="2024-02-01T00:00:00"/>
    <x v="0"/>
    <x v="1"/>
    <x v="1"/>
    <n v="19.989999999999998"/>
    <x v="3"/>
    <n v="7.9960000000000004"/>
    <n v="87.956000000000003"/>
  </r>
  <r>
    <n v="1061"/>
    <x v="30"/>
    <x v="39"/>
    <d v="2024-02-02T00:00:00"/>
    <x v="0"/>
    <x v="1"/>
    <x v="2"/>
    <n v="149.99"/>
    <x v="1"/>
    <n v="14.999000000000001"/>
    <n v="164.989"/>
  </r>
  <r>
    <n v="1062"/>
    <x v="30"/>
    <x v="19"/>
    <d v="2024-02-04T00:00:00"/>
    <x v="0"/>
    <x v="1"/>
    <x v="2"/>
    <n v="69.989999999999995"/>
    <x v="0"/>
    <n v="13.997999999999999"/>
    <n v="153.97800000000001"/>
  </r>
  <r>
    <n v="1063"/>
    <x v="31"/>
    <x v="40"/>
    <d v="2024-02-02T00:00:00"/>
    <x v="0"/>
    <x v="1"/>
    <x v="3"/>
    <n v="39.99"/>
    <x v="2"/>
    <n v="11.997"/>
    <n v="131.96700000000001"/>
  </r>
  <r>
    <n v="1064"/>
    <x v="31"/>
    <x v="41"/>
    <d v="2024-02-05T00:00:00"/>
    <x v="0"/>
    <x v="1"/>
    <x v="3"/>
    <n v="199.99"/>
    <x v="1"/>
    <n v="19.998999999999999"/>
    <n v="219.989"/>
  </r>
  <r>
    <n v="1065"/>
    <x v="31"/>
    <x v="42"/>
    <d v="2024-02-03T00:00:00"/>
    <x v="0"/>
    <x v="1"/>
    <x v="3"/>
    <n v="29.99"/>
    <x v="4"/>
    <n v="14.994999999999999"/>
    <n v="164.94499999999999"/>
  </r>
  <r>
    <n v="1066"/>
    <x v="32"/>
    <x v="43"/>
    <d v="2024-02-06T00:00:00"/>
    <x v="0"/>
    <x v="1"/>
    <x v="4"/>
    <n v="79.989999999999995"/>
    <x v="0"/>
    <n v="15.997999999999999"/>
    <n v="175.97800000000001"/>
  </r>
  <r>
    <n v="1067"/>
    <x v="33"/>
    <x v="44"/>
    <d v="2024-02-06T00:00:00"/>
    <x v="0"/>
    <x v="1"/>
    <x v="5"/>
    <n v="49.99"/>
    <x v="2"/>
    <n v="14.997"/>
    <n v="164.96700000000001"/>
  </r>
  <r>
    <n v="1068"/>
    <x v="34"/>
    <x v="45"/>
    <d v="2024-02-05T00:00:00"/>
    <x v="0"/>
    <x v="1"/>
    <x v="6"/>
    <n v="129.99"/>
    <x v="1"/>
    <n v="12.999000000000001"/>
    <n v="142.989"/>
  </r>
  <r>
    <n v="1069"/>
    <x v="34"/>
    <x v="46"/>
    <d v="2024-02-08T00:00:00"/>
    <x v="0"/>
    <x v="1"/>
    <x v="6"/>
    <n v="19.989999999999998"/>
    <x v="3"/>
    <n v="7.9960000000000004"/>
    <n v="87.956000000000003"/>
  </r>
  <r>
    <n v="1070"/>
    <x v="34"/>
    <x v="47"/>
    <d v="2024-02-07T00:00:00"/>
    <x v="0"/>
    <x v="1"/>
    <x v="6"/>
    <n v="149.99"/>
    <x v="1"/>
    <n v="14.999000000000001"/>
    <n v="164.989"/>
  </r>
</pivotCacheRecords>
</file>

<file path=xl/pivotCache/pivotCacheRecords2.xml><?xml version="1.0" encoding="utf-8"?>
<pivotCacheRecords xmlns="http://schemas.openxmlformats.org/spreadsheetml/2006/main" xmlns:r="http://schemas.openxmlformats.org/officeDocument/2006/relationships" count="1">
  <r>
    <n v="34.995937499999997"/>
    <n v="9.0909090909090884E-2"/>
    <n v="2.46153846153846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F000000}" name="PivotTable24"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I25:I26" firstHeaderRow="1" firstDataRow="1" firstDataCol="0"/>
  <pivotFields count="13">
    <pivotField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compact="0" outline="0" showAll="0">
      <items count="3">
        <item x="0"/>
        <item x="1"/>
        <item t="default"/>
      </items>
    </pivotField>
    <pivotField compact="0" outline="0" showAll="0">
      <items count="8">
        <item x="6"/>
        <item x="0"/>
        <item x="1"/>
        <item x="2"/>
        <item x="3"/>
        <item x="4"/>
        <item x="5"/>
        <item t="default"/>
      </items>
    </pivotField>
    <pivotField compact="0" numFmtId="2" outline="0" showAll="0"/>
    <pivotField compact="0" numFmtId="2" outline="0" showAll="0"/>
    <pivotField compact="0" numFmtId="2" outline="0" showAll="0"/>
    <pivotField dataField="1" compact="0" numFmtId="2" outline="0" showAll="0"/>
    <pivotField compact="0"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howAll="0" defaultSubtotal="0">
      <items count="14">
        <item x="0"/>
        <item x="1"/>
        <item x="2"/>
        <item x="3"/>
        <item x="4"/>
        <item x="5"/>
        <item x="6"/>
        <item x="7"/>
        <item x="8"/>
        <item x="9"/>
        <item x="10"/>
        <item x="11"/>
        <item x="12"/>
        <item x="13"/>
      </items>
    </pivotField>
  </pivotFields>
  <rowItems count="1">
    <i/>
  </rowItems>
  <colItems count="1">
    <i/>
  </colItems>
  <dataFields count="1">
    <dataField name="Sum of Total (USD)" fld="10" baseField="0" baseItem="0" numFmtId="2"/>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15000000}" name="PivotTable20" cacheId="34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28:I29" firstHeaderRow="1" firstDataRow="1" firstDataCol="0"/>
  <pivotFields count="3">
    <pivotField showAll="0"/>
    <pivotField showAll="0"/>
    <pivotField dataField="1" showAll="0"/>
  </pivotFields>
  <rowItems count="1">
    <i/>
  </rowItems>
  <colItems count="1">
    <i/>
  </colItems>
  <dataFields count="1">
    <dataField name="Sum of Units per Transaction" fld="2" baseField="0" baseItem="0" numFmtId="2"/>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A000000}" name="PivotTable9"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E4" firstHeaderRow="1" firstDataRow="1" firstDataCol="0"/>
  <pivotFields count="13">
    <pivotField dataField="1"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compact="0" outline="0" showAll="0"/>
    <pivotField compact="0" outline="0" showAll="0">
      <items count="8">
        <item x="6"/>
        <item x="0"/>
        <item x="1"/>
        <item x="2"/>
        <item x="3"/>
        <item x="4"/>
        <item x="5"/>
        <item t="default"/>
      </items>
    </pivotField>
    <pivotField compact="0" numFmtId="2" outline="0" showAll="0"/>
    <pivotField compact="0" numFmtId="2" outline="0" showAll="0"/>
    <pivotField compact="0" numFmtId="2" outline="0" showAll="0"/>
    <pivotField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18"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I14:K18" firstHeaderRow="1" firstDataRow="1" firstDataCol="2"/>
  <pivotFields count="13">
    <pivotField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axis="axisRow" compact="0" outline="0" showAll="0">
      <items count="2">
        <item x="0"/>
        <item t="default"/>
      </items>
    </pivotField>
    <pivotField axis="axisRow" compact="0" outline="0" showAll="0">
      <items count="3">
        <item x="0"/>
        <item x="1"/>
        <item t="default"/>
      </items>
    </pivotField>
    <pivotField compact="0" outline="0" showAll="0">
      <items count="8">
        <item x="6"/>
        <item x="0"/>
        <item x="1"/>
        <item x="2"/>
        <item x="3"/>
        <item x="4"/>
        <item x="5"/>
        <item t="default"/>
      </items>
    </pivotField>
    <pivotField compact="0" numFmtId="2" outline="0" showAll="0"/>
    <pivotField compact="0" numFmtId="2" outline="0" showAll="0"/>
    <pivotField compact="0" numFmtId="2" outline="0" showAll="0"/>
    <pivotField dataField="1" compact="0" numFmtId="2" outline="0" showAll="0"/>
    <pivotField compact="0"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howAll="0" defaultSubtotal="0">
      <items count="14">
        <item x="0"/>
        <item x="1"/>
        <item x="2"/>
        <item x="3"/>
        <item x="4"/>
        <item x="5"/>
        <item x="6"/>
        <item x="7"/>
        <item x="8"/>
        <item x="9"/>
        <item x="10"/>
        <item x="11"/>
        <item x="12"/>
        <item x="13"/>
      </items>
    </pivotField>
  </pivotFields>
  <rowFields count="2">
    <field x="4"/>
    <field x="5"/>
  </rowFields>
  <rowItems count="4">
    <i>
      <x/>
      <x/>
    </i>
    <i r="1">
      <x v="1"/>
    </i>
    <i t="default">
      <x/>
    </i>
    <i t="grand">
      <x/>
    </i>
  </rowItems>
  <colItems count="1">
    <i/>
  </colItems>
  <dataFields count="1">
    <dataField name="Sum of Total (USD)" fld="10" baseField="0" baseItem="0" numFmtId="2"/>
  </dataFields>
  <chartFormats count="7">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10"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94:B202" firstHeaderRow="1" firstDataRow="1" firstDataCol="1"/>
  <pivotFields count="13">
    <pivotField dataField="1"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compact="0" outline="0" showAll="0">
      <items count="3">
        <item x="0"/>
        <item x="1"/>
        <item t="default"/>
      </items>
    </pivotField>
    <pivotField axis="axisRow" compact="0" outline="0" showAll="0" sortType="descending">
      <items count="8">
        <item x="6"/>
        <item x="0"/>
        <item x="1"/>
        <item x="2"/>
        <item x="3"/>
        <item x="4"/>
        <item x="5"/>
        <item t="default"/>
      </items>
      <autoSortScope>
        <pivotArea dataOnly="0" outline="0" fieldPosition="0">
          <references count="1">
            <reference field="4294967294" count="1" selected="0">
              <x v="0"/>
            </reference>
          </references>
        </pivotArea>
      </autoSortScope>
    </pivotField>
    <pivotField compact="0" numFmtId="2" outline="0" showAll="0"/>
    <pivotField compact="0" numFmtId="2" outline="0" showAll="0"/>
    <pivotField compact="0" numFmtId="2" outline="0" showAll="0"/>
    <pivotField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8">
    <i>
      <x/>
    </i>
    <i>
      <x v="4"/>
    </i>
    <i>
      <x v="2"/>
    </i>
    <i>
      <x v="1"/>
    </i>
    <i>
      <x v="3"/>
    </i>
    <i>
      <x v="6"/>
    </i>
    <i>
      <x v="5"/>
    </i>
    <i t="grand">
      <x/>
    </i>
  </rowItems>
  <colItems count="1">
    <i/>
  </colItems>
  <dataFields count="1">
    <dataField name="Count of Order 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2"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5:A6" firstHeaderRow="1" firstDataRow="1" firstDataCol="0"/>
  <pivotFields count="13">
    <pivotField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compact="0" outline="0" showAll="0"/>
    <pivotField compact="0" outline="0" showAll="0">
      <items count="8">
        <item x="6"/>
        <item x="0"/>
        <item x="1"/>
        <item x="2"/>
        <item x="3"/>
        <item x="4"/>
        <item x="5"/>
        <item t="default"/>
      </items>
    </pivotField>
    <pivotField compact="0" numFmtId="2" outline="0" showAll="0"/>
    <pivotField dataField="1" compact="0" numFmtId="2" outline="0" showAll="0"/>
    <pivotField compact="0" numFmtId="2" outline="0" showAll="0"/>
    <pivotField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Sum of Order Quantity"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15"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44:A245" firstHeaderRow="1" firstDataRow="1" firstDataCol="0"/>
  <pivotFields count="13">
    <pivotField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compact="0" outline="0" showAll="0">
      <items count="3">
        <item x="0"/>
        <item x="1"/>
        <item t="default"/>
      </items>
    </pivotField>
    <pivotField compact="0" outline="0" showAll="0">
      <items count="8">
        <item x="6"/>
        <item x="0"/>
        <item x="1"/>
        <item x="2"/>
        <item x="3"/>
        <item x="4"/>
        <item x="5"/>
        <item t="default"/>
      </items>
    </pivotField>
    <pivotField dataField="1" compact="0" numFmtId="2" outline="0" showAll="0"/>
    <pivotField compact="0" numFmtId="2" outline="0" showAll="0"/>
    <pivotField compact="0" numFmtId="2" outline="0" showAll="0"/>
    <pivotField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Sum of Retail Price (USD)" fld="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E08484-653F-429E-A2A8-5E426A32735B}" name="PivotTable4"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61:B69" firstHeaderRow="1" firstDataRow="1" firstDataCol="1"/>
  <pivotFields count="13">
    <pivotField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axis="axisRow" compact="0" outline="0" showAll="0" measureFilter="1" sortType="descending">
      <items count="52">
        <item x="15"/>
        <item x="21"/>
        <item x="22"/>
        <item x="8"/>
        <item x="46"/>
        <item x="35"/>
        <item x="39"/>
        <item x="6"/>
        <item x="18"/>
        <item x="27"/>
        <item x="31"/>
        <item x="50"/>
        <item x="42"/>
        <item x="4"/>
        <item x="3"/>
        <item x="26"/>
        <item x="45"/>
        <item x="34"/>
        <item x="16"/>
        <item x="1"/>
        <item x="19"/>
        <item x="47"/>
        <item x="28"/>
        <item x="36"/>
        <item x="13"/>
        <item x="30"/>
        <item x="23"/>
        <item x="49"/>
        <item x="41"/>
        <item x="0"/>
        <item x="9"/>
        <item x="17"/>
        <item x="5"/>
        <item x="38"/>
        <item x="33"/>
        <item x="25"/>
        <item x="44"/>
        <item x="14"/>
        <item x="11"/>
        <item x="48"/>
        <item x="20"/>
        <item x="2"/>
        <item x="40"/>
        <item x="29"/>
        <item x="12"/>
        <item x="7"/>
        <item x="32"/>
        <item x="43"/>
        <item x="37"/>
        <item x="24"/>
        <item x="10"/>
        <item t="default"/>
      </items>
      <autoSortScope>
        <pivotArea dataOnly="0" outline="0" fieldPosition="0">
          <references count="1">
            <reference field="4294967294" count="1" selected="0">
              <x v="0"/>
            </reference>
          </references>
        </pivotArea>
      </autoSortScope>
    </pivotField>
    <pivotField compact="0" numFmtId="14" outline="0" showAll="0"/>
    <pivotField compact="0" outline="0" showAll="0">
      <items count="2">
        <item x="0"/>
        <item t="default"/>
      </items>
    </pivotField>
    <pivotField compact="0" outline="0" showAll="0"/>
    <pivotField compact="0" outline="0" showAll="0">
      <items count="8">
        <item x="6"/>
        <item x="0"/>
        <item x="1"/>
        <item x="2"/>
        <item x="3"/>
        <item x="4"/>
        <item x="5"/>
        <item t="default"/>
      </items>
    </pivotField>
    <pivotField compact="0" numFmtId="2" outline="0" showAll="0"/>
    <pivotField dataField="1" compact="0" numFmtId="2" outline="0" showAll="0"/>
    <pivotField compact="0" numFmtId="2" outline="0" showAll="0"/>
    <pivotField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8">
    <i>
      <x v="14"/>
    </i>
    <i>
      <x v="12"/>
    </i>
    <i>
      <x v="42"/>
    </i>
    <i>
      <x v="20"/>
    </i>
    <i>
      <x v="48"/>
    </i>
    <i>
      <x v="36"/>
    </i>
    <i>
      <x v="26"/>
    </i>
    <i t="grand">
      <x/>
    </i>
  </rowItems>
  <colItems count="1">
    <i/>
  </colItems>
  <dataFields count="1">
    <dataField name="Sum of Order Quantity" fld="8" baseField="0" baseItem="0" numFmtId="2"/>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16"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304:E356" firstHeaderRow="0" firstDataRow="1" firstDataCol="1"/>
  <pivotFields count="13">
    <pivotField dataField="1" compact="0" outline="0" showAll="0"/>
    <pivotField dataField="1"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axis="axisRow" compact="0" outline="0" showAll="0">
      <items count="52">
        <item x="15"/>
        <item x="21"/>
        <item x="22"/>
        <item x="8"/>
        <item x="46"/>
        <item x="35"/>
        <item x="39"/>
        <item x="6"/>
        <item x="18"/>
        <item x="27"/>
        <item x="31"/>
        <item x="50"/>
        <item x="42"/>
        <item x="4"/>
        <item x="3"/>
        <item x="26"/>
        <item x="45"/>
        <item x="34"/>
        <item x="16"/>
        <item x="1"/>
        <item x="19"/>
        <item x="47"/>
        <item x="28"/>
        <item x="36"/>
        <item x="13"/>
        <item x="30"/>
        <item x="23"/>
        <item x="49"/>
        <item x="41"/>
        <item x="0"/>
        <item x="9"/>
        <item x="17"/>
        <item x="5"/>
        <item x="38"/>
        <item x="33"/>
        <item x="25"/>
        <item x="44"/>
        <item x="14"/>
        <item x="11"/>
        <item x="48"/>
        <item x="20"/>
        <item x="2"/>
        <item x="40"/>
        <item x="29"/>
        <item x="12"/>
        <item x="7"/>
        <item x="32"/>
        <item x="43"/>
        <item x="37"/>
        <item x="24"/>
        <item x="10"/>
        <item t="default"/>
      </items>
    </pivotField>
    <pivotField dataField="1" compact="0" numFmtId="14" outline="0" showAll="0"/>
    <pivotField compact="0" outline="0" showAll="0"/>
    <pivotField compact="0" outline="0" showAll="0">
      <items count="3">
        <item x="0"/>
        <item x="1"/>
        <item t="default"/>
      </items>
    </pivotField>
    <pivotField compact="0" outline="0" showAll="0">
      <items count="8">
        <item x="6"/>
        <item x="0"/>
        <item x="1"/>
        <item x="2"/>
        <item x="3"/>
        <item x="4"/>
        <item x="5"/>
        <item t="default"/>
      </items>
    </pivotField>
    <pivotField compact="0" numFmtId="2" outline="0" showAll="0"/>
    <pivotField compact="0" numFmtId="2" outline="0" showAll="0"/>
    <pivotField compact="0" numFmtId="2" outline="0" showAll="0"/>
    <pivotField dataField="1" compact="0" numFmtId="2"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2"/>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2"/>
  </colFields>
  <colItems count="4">
    <i>
      <x/>
    </i>
    <i i="1">
      <x v="1"/>
    </i>
    <i i="2">
      <x v="2"/>
    </i>
    <i i="3">
      <x v="3"/>
    </i>
  </colItems>
  <dataFields count="4">
    <dataField name="Monetary" fld="10" baseField="0" baseItem="0" numFmtId="2"/>
    <dataField name="Frequency" fld="0" subtotal="count" baseField="0" baseItem="0"/>
    <dataField name="Last  Shipping  Date" fld="3" subtotal="max" baseField="0" baseItem="0" numFmtId="14"/>
    <dataField name="Last Order Date" fld="1" subtotal="max" baseField="0" baseItem="0" numFmtId="14"/>
  </dataFields>
  <chartFormats count="416">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2" count="1" selected="0">
            <x v="0"/>
          </reference>
        </references>
      </pivotArea>
    </chartFormat>
    <chartFormat chart="1" format="6">
      <pivotArea type="data" outline="0" fieldPosition="0">
        <references count="2">
          <reference field="4294967294" count="1" selected="0">
            <x v="0"/>
          </reference>
          <reference field="2" count="1" selected="0">
            <x v="1"/>
          </reference>
        </references>
      </pivotArea>
    </chartFormat>
    <chartFormat chart="1" format="7">
      <pivotArea type="data" outline="0" fieldPosition="0">
        <references count="2">
          <reference field="4294967294" count="1" selected="0">
            <x v="0"/>
          </reference>
          <reference field="2" count="1" selected="0">
            <x v="2"/>
          </reference>
        </references>
      </pivotArea>
    </chartFormat>
    <chartFormat chart="1" format="8">
      <pivotArea type="data" outline="0" fieldPosition="0">
        <references count="2">
          <reference field="4294967294" count="1" selected="0">
            <x v="0"/>
          </reference>
          <reference field="2" count="1" selected="0">
            <x v="3"/>
          </reference>
        </references>
      </pivotArea>
    </chartFormat>
    <chartFormat chart="1" format="9">
      <pivotArea type="data" outline="0" fieldPosition="0">
        <references count="2">
          <reference field="4294967294" count="1" selected="0">
            <x v="0"/>
          </reference>
          <reference field="2" count="1" selected="0">
            <x v="4"/>
          </reference>
        </references>
      </pivotArea>
    </chartFormat>
    <chartFormat chart="1" format="10">
      <pivotArea type="data" outline="0" fieldPosition="0">
        <references count="2">
          <reference field="4294967294" count="1" selected="0">
            <x v="0"/>
          </reference>
          <reference field="2" count="1" selected="0">
            <x v="5"/>
          </reference>
        </references>
      </pivotArea>
    </chartFormat>
    <chartFormat chart="1" format="11">
      <pivotArea type="data" outline="0" fieldPosition="0">
        <references count="2">
          <reference field="4294967294" count="1" selected="0">
            <x v="0"/>
          </reference>
          <reference field="2" count="1" selected="0">
            <x v="6"/>
          </reference>
        </references>
      </pivotArea>
    </chartFormat>
    <chartFormat chart="1" format="12">
      <pivotArea type="data" outline="0" fieldPosition="0">
        <references count="2">
          <reference field="4294967294" count="1" selected="0">
            <x v="0"/>
          </reference>
          <reference field="2" count="1" selected="0">
            <x v="7"/>
          </reference>
        </references>
      </pivotArea>
    </chartFormat>
    <chartFormat chart="1" format="13">
      <pivotArea type="data" outline="0" fieldPosition="0">
        <references count="2">
          <reference field="4294967294" count="1" selected="0">
            <x v="0"/>
          </reference>
          <reference field="2" count="1" selected="0">
            <x v="8"/>
          </reference>
        </references>
      </pivotArea>
    </chartFormat>
    <chartFormat chart="1" format="14">
      <pivotArea type="data" outline="0" fieldPosition="0">
        <references count="2">
          <reference field="4294967294" count="1" selected="0">
            <x v="0"/>
          </reference>
          <reference field="2" count="1" selected="0">
            <x v="9"/>
          </reference>
        </references>
      </pivotArea>
    </chartFormat>
    <chartFormat chart="1" format="15">
      <pivotArea type="data" outline="0" fieldPosition="0">
        <references count="2">
          <reference field="4294967294" count="1" selected="0">
            <x v="0"/>
          </reference>
          <reference field="2" count="1" selected="0">
            <x v="10"/>
          </reference>
        </references>
      </pivotArea>
    </chartFormat>
    <chartFormat chart="1" format="16">
      <pivotArea type="data" outline="0" fieldPosition="0">
        <references count="2">
          <reference field="4294967294" count="1" selected="0">
            <x v="0"/>
          </reference>
          <reference field="2" count="1" selected="0">
            <x v="11"/>
          </reference>
        </references>
      </pivotArea>
    </chartFormat>
    <chartFormat chart="1" format="17">
      <pivotArea type="data" outline="0" fieldPosition="0">
        <references count="2">
          <reference field="4294967294" count="1" selected="0">
            <x v="0"/>
          </reference>
          <reference field="2" count="1" selected="0">
            <x v="12"/>
          </reference>
        </references>
      </pivotArea>
    </chartFormat>
    <chartFormat chart="1" format="18">
      <pivotArea type="data" outline="0" fieldPosition="0">
        <references count="2">
          <reference field="4294967294" count="1" selected="0">
            <x v="0"/>
          </reference>
          <reference field="2" count="1" selected="0">
            <x v="13"/>
          </reference>
        </references>
      </pivotArea>
    </chartFormat>
    <chartFormat chart="1" format="19">
      <pivotArea type="data" outline="0" fieldPosition="0">
        <references count="2">
          <reference field="4294967294" count="1" selected="0">
            <x v="0"/>
          </reference>
          <reference field="2" count="1" selected="0">
            <x v="14"/>
          </reference>
        </references>
      </pivotArea>
    </chartFormat>
    <chartFormat chart="1" format="20">
      <pivotArea type="data" outline="0" fieldPosition="0">
        <references count="2">
          <reference field="4294967294" count="1" selected="0">
            <x v="0"/>
          </reference>
          <reference field="2" count="1" selected="0">
            <x v="15"/>
          </reference>
        </references>
      </pivotArea>
    </chartFormat>
    <chartFormat chart="1" format="21">
      <pivotArea type="data" outline="0" fieldPosition="0">
        <references count="2">
          <reference field="4294967294" count="1" selected="0">
            <x v="0"/>
          </reference>
          <reference field="2" count="1" selected="0">
            <x v="16"/>
          </reference>
        </references>
      </pivotArea>
    </chartFormat>
    <chartFormat chart="1" format="22">
      <pivotArea type="data" outline="0" fieldPosition="0">
        <references count="2">
          <reference field="4294967294" count="1" selected="0">
            <x v="0"/>
          </reference>
          <reference field="2" count="1" selected="0">
            <x v="17"/>
          </reference>
        </references>
      </pivotArea>
    </chartFormat>
    <chartFormat chart="1" format="23">
      <pivotArea type="data" outline="0" fieldPosition="0">
        <references count="2">
          <reference field="4294967294" count="1" selected="0">
            <x v="0"/>
          </reference>
          <reference field="2" count="1" selected="0">
            <x v="18"/>
          </reference>
        </references>
      </pivotArea>
    </chartFormat>
    <chartFormat chart="1" format="24">
      <pivotArea type="data" outline="0" fieldPosition="0">
        <references count="2">
          <reference field="4294967294" count="1" selected="0">
            <x v="0"/>
          </reference>
          <reference field="2" count="1" selected="0">
            <x v="19"/>
          </reference>
        </references>
      </pivotArea>
    </chartFormat>
    <chartFormat chart="1" format="25">
      <pivotArea type="data" outline="0" fieldPosition="0">
        <references count="2">
          <reference field="4294967294" count="1" selected="0">
            <x v="0"/>
          </reference>
          <reference field="2" count="1" selected="0">
            <x v="20"/>
          </reference>
        </references>
      </pivotArea>
    </chartFormat>
    <chartFormat chart="1" format="26">
      <pivotArea type="data" outline="0" fieldPosition="0">
        <references count="2">
          <reference field="4294967294" count="1" selected="0">
            <x v="0"/>
          </reference>
          <reference field="2" count="1" selected="0">
            <x v="21"/>
          </reference>
        </references>
      </pivotArea>
    </chartFormat>
    <chartFormat chart="1" format="27">
      <pivotArea type="data" outline="0" fieldPosition="0">
        <references count="2">
          <reference field="4294967294" count="1" selected="0">
            <x v="0"/>
          </reference>
          <reference field="2" count="1" selected="0">
            <x v="22"/>
          </reference>
        </references>
      </pivotArea>
    </chartFormat>
    <chartFormat chart="1" format="28">
      <pivotArea type="data" outline="0" fieldPosition="0">
        <references count="2">
          <reference field="4294967294" count="1" selected="0">
            <x v="0"/>
          </reference>
          <reference field="2" count="1" selected="0">
            <x v="23"/>
          </reference>
        </references>
      </pivotArea>
    </chartFormat>
    <chartFormat chart="1" format="29">
      <pivotArea type="data" outline="0" fieldPosition="0">
        <references count="2">
          <reference field="4294967294" count="1" selected="0">
            <x v="0"/>
          </reference>
          <reference field="2" count="1" selected="0">
            <x v="24"/>
          </reference>
        </references>
      </pivotArea>
    </chartFormat>
    <chartFormat chart="1" format="30">
      <pivotArea type="data" outline="0" fieldPosition="0">
        <references count="2">
          <reference field="4294967294" count="1" selected="0">
            <x v="0"/>
          </reference>
          <reference field="2" count="1" selected="0">
            <x v="25"/>
          </reference>
        </references>
      </pivotArea>
    </chartFormat>
    <chartFormat chart="1" format="31">
      <pivotArea type="data" outline="0" fieldPosition="0">
        <references count="2">
          <reference field="4294967294" count="1" selected="0">
            <x v="0"/>
          </reference>
          <reference field="2" count="1" selected="0">
            <x v="26"/>
          </reference>
        </references>
      </pivotArea>
    </chartFormat>
    <chartFormat chart="1" format="32">
      <pivotArea type="data" outline="0" fieldPosition="0">
        <references count="2">
          <reference field="4294967294" count="1" selected="0">
            <x v="0"/>
          </reference>
          <reference field="2" count="1" selected="0">
            <x v="27"/>
          </reference>
        </references>
      </pivotArea>
    </chartFormat>
    <chartFormat chart="1" format="33">
      <pivotArea type="data" outline="0" fieldPosition="0">
        <references count="2">
          <reference field="4294967294" count="1" selected="0">
            <x v="0"/>
          </reference>
          <reference field="2" count="1" selected="0">
            <x v="28"/>
          </reference>
        </references>
      </pivotArea>
    </chartFormat>
    <chartFormat chart="1" format="34">
      <pivotArea type="data" outline="0" fieldPosition="0">
        <references count="2">
          <reference field="4294967294" count="1" selected="0">
            <x v="0"/>
          </reference>
          <reference field="2" count="1" selected="0">
            <x v="29"/>
          </reference>
        </references>
      </pivotArea>
    </chartFormat>
    <chartFormat chart="1" format="35">
      <pivotArea type="data" outline="0" fieldPosition="0">
        <references count="2">
          <reference field="4294967294" count="1" selected="0">
            <x v="0"/>
          </reference>
          <reference field="2" count="1" selected="0">
            <x v="30"/>
          </reference>
        </references>
      </pivotArea>
    </chartFormat>
    <chartFormat chart="1" format="36">
      <pivotArea type="data" outline="0" fieldPosition="0">
        <references count="2">
          <reference field="4294967294" count="1" selected="0">
            <x v="0"/>
          </reference>
          <reference field="2" count="1" selected="0">
            <x v="31"/>
          </reference>
        </references>
      </pivotArea>
    </chartFormat>
    <chartFormat chart="1" format="37">
      <pivotArea type="data" outline="0" fieldPosition="0">
        <references count="2">
          <reference field="4294967294" count="1" selected="0">
            <x v="0"/>
          </reference>
          <reference field="2" count="1" selected="0">
            <x v="32"/>
          </reference>
        </references>
      </pivotArea>
    </chartFormat>
    <chartFormat chart="1" format="38">
      <pivotArea type="data" outline="0" fieldPosition="0">
        <references count="2">
          <reference field="4294967294" count="1" selected="0">
            <x v="0"/>
          </reference>
          <reference field="2" count="1" selected="0">
            <x v="33"/>
          </reference>
        </references>
      </pivotArea>
    </chartFormat>
    <chartFormat chart="1" format="39">
      <pivotArea type="data" outline="0" fieldPosition="0">
        <references count="2">
          <reference field="4294967294" count="1" selected="0">
            <x v="0"/>
          </reference>
          <reference field="2" count="1" selected="0">
            <x v="34"/>
          </reference>
        </references>
      </pivotArea>
    </chartFormat>
    <chartFormat chart="1" format="40">
      <pivotArea type="data" outline="0" fieldPosition="0">
        <references count="2">
          <reference field="4294967294" count="1" selected="0">
            <x v="0"/>
          </reference>
          <reference field="2" count="1" selected="0">
            <x v="35"/>
          </reference>
        </references>
      </pivotArea>
    </chartFormat>
    <chartFormat chart="1" format="41">
      <pivotArea type="data" outline="0" fieldPosition="0">
        <references count="2">
          <reference field="4294967294" count="1" selected="0">
            <x v="0"/>
          </reference>
          <reference field="2" count="1" selected="0">
            <x v="36"/>
          </reference>
        </references>
      </pivotArea>
    </chartFormat>
    <chartFormat chart="1" format="42">
      <pivotArea type="data" outline="0" fieldPosition="0">
        <references count="2">
          <reference field="4294967294" count="1" selected="0">
            <x v="0"/>
          </reference>
          <reference field="2" count="1" selected="0">
            <x v="37"/>
          </reference>
        </references>
      </pivotArea>
    </chartFormat>
    <chartFormat chart="1" format="43">
      <pivotArea type="data" outline="0" fieldPosition="0">
        <references count="2">
          <reference field="4294967294" count="1" selected="0">
            <x v="0"/>
          </reference>
          <reference field="2" count="1" selected="0">
            <x v="38"/>
          </reference>
        </references>
      </pivotArea>
    </chartFormat>
    <chartFormat chart="1" format="44">
      <pivotArea type="data" outline="0" fieldPosition="0">
        <references count="2">
          <reference field="4294967294" count="1" selected="0">
            <x v="0"/>
          </reference>
          <reference field="2" count="1" selected="0">
            <x v="39"/>
          </reference>
        </references>
      </pivotArea>
    </chartFormat>
    <chartFormat chart="1" format="45">
      <pivotArea type="data" outline="0" fieldPosition="0">
        <references count="2">
          <reference field="4294967294" count="1" selected="0">
            <x v="0"/>
          </reference>
          <reference field="2" count="1" selected="0">
            <x v="40"/>
          </reference>
        </references>
      </pivotArea>
    </chartFormat>
    <chartFormat chart="1" format="46">
      <pivotArea type="data" outline="0" fieldPosition="0">
        <references count="2">
          <reference field="4294967294" count="1" selected="0">
            <x v="0"/>
          </reference>
          <reference field="2" count="1" selected="0">
            <x v="41"/>
          </reference>
        </references>
      </pivotArea>
    </chartFormat>
    <chartFormat chart="1" format="47">
      <pivotArea type="data" outline="0" fieldPosition="0">
        <references count="2">
          <reference field="4294967294" count="1" selected="0">
            <x v="0"/>
          </reference>
          <reference field="2" count="1" selected="0">
            <x v="42"/>
          </reference>
        </references>
      </pivotArea>
    </chartFormat>
    <chartFormat chart="1" format="48">
      <pivotArea type="data" outline="0" fieldPosition="0">
        <references count="2">
          <reference field="4294967294" count="1" selected="0">
            <x v="0"/>
          </reference>
          <reference field="2" count="1" selected="0">
            <x v="43"/>
          </reference>
        </references>
      </pivotArea>
    </chartFormat>
    <chartFormat chart="1" format="49">
      <pivotArea type="data" outline="0" fieldPosition="0">
        <references count="2">
          <reference field="4294967294" count="1" selected="0">
            <x v="0"/>
          </reference>
          <reference field="2" count="1" selected="0">
            <x v="44"/>
          </reference>
        </references>
      </pivotArea>
    </chartFormat>
    <chartFormat chart="1" format="50">
      <pivotArea type="data" outline="0" fieldPosition="0">
        <references count="2">
          <reference field="4294967294" count="1" selected="0">
            <x v="0"/>
          </reference>
          <reference field="2" count="1" selected="0">
            <x v="45"/>
          </reference>
        </references>
      </pivotArea>
    </chartFormat>
    <chartFormat chart="1" format="51">
      <pivotArea type="data" outline="0" fieldPosition="0">
        <references count="2">
          <reference field="4294967294" count="1" selected="0">
            <x v="0"/>
          </reference>
          <reference field="2" count="1" selected="0">
            <x v="46"/>
          </reference>
        </references>
      </pivotArea>
    </chartFormat>
    <chartFormat chart="1" format="52">
      <pivotArea type="data" outline="0" fieldPosition="0">
        <references count="2">
          <reference field="4294967294" count="1" selected="0">
            <x v="0"/>
          </reference>
          <reference field="2" count="1" selected="0">
            <x v="47"/>
          </reference>
        </references>
      </pivotArea>
    </chartFormat>
    <chartFormat chart="1" format="53">
      <pivotArea type="data" outline="0" fieldPosition="0">
        <references count="2">
          <reference field="4294967294" count="1" selected="0">
            <x v="0"/>
          </reference>
          <reference field="2" count="1" selected="0">
            <x v="48"/>
          </reference>
        </references>
      </pivotArea>
    </chartFormat>
    <chartFormat chart="1" format="54">
      <pivotArea type="data" outline="0" fieldPosition="0">
        <references count="2">
          <reference field="4294967294" count="1" selected="0">
            <x v="0"/>
          </reference>
          <reference field="2" count="1" selected="0">
            <x v="49"/>
          </reference>
        </references>
      </pivotArea>
    </chartFormat>
    <chartFormat chart="1" format="55">
      <pivotArea type="data" outline="0" fieldPosition="0">
        <references count="2">
          <reference field="4294967294" count="1" selected="0">
            <x v="0"/>
          </reference>
          <reference field="2" count="1" selected="0">
            <x v="50"/>
          </reference>
        </references>
      </pivotArea>
    </chartFormat>
    <chartFormat chart="1" format="56" series="1">
      <pivotArea type="data" outline="0" fieldPosition="0">
        <references count="1">
          <reference field="4294967294" count="1" selected="0">
            <x v="1"/>
          </reference>
        </references>
      </pivotArea>
    </chartFormat>
    <chartFormat chart="1" format="57">
      <pivotArea type="data" outline="0" fieldPosition="0">
        <references count="2">
          <reference field="4294967294" count="1" selected="0">
            <x v="1"/>
          </reference>
          <reference field="2" count="1" selected="0">
            <x v="0"/>
          </reference>
        </references>
      </pivotArea>
    </chartFormat>
    <chartFormat chart="1" format="58">
      <pivotArea type="data" outline="0" fieldPosition="0">
        <references count="2">
          <reference field="4294967294" count="1" selected="0">
            <x v="1"/>
          </reference>
          <reference field="2" count="1" selected="0">
            <x v="1"/>
          </reference>
        </references>
      </pivotArea>
    </chartFormat>
    <chartFormat chart="1" format="59">
      <pivotArea type="data" outline="0" fieldPosition="0">
        <references count="2">
          <reference field="4294967294" count="1" selected="0">
            <x v="1"/>
          </reference>
          <reference field="2" count="1" selected="0">
            <x v="2"/>
          </reference>
        </references>
      </pivotArea>
    </chartFormat>
    <chartFormat chart="1" format="60">
      <pivotArea type="data" outline="0" fieldPosition="0">
        <references count="2">
          <reference field="4294967294" count="1" selected="0">
            <x v="1"/>
          </reference>
          <reference field="2" count="1" selected="0">
            <x v="3"/>
          </reference>
        </references>
      </pivotArea>
    </chartFormat>
    <chartFormat chart="1" format="61">
      <pivotArea type="data" outline="0" fieldPosition="0">
        <references count="2">
          <reference field="4294967294" count="1" selected="0">
            <x v="1"/>
          </reference>
          <reference field="2" count="1" selected="0">
            <x v="4"/>
          </reference>
        </references>
      </pivotArea>
    </chartFormat>
    <chartFormat chart="1" format="62">
      <pivotArea type="data" outline="0" fieldPosition="0">
        <references count="2">
          <reference field="4294967294" count="1" selected="0">
            <x v="1"/>
          </reference>
          <reference field="2" count="1" selected="0">
            <x v="5"/>
          </reference>
        </references>
      </pivotArea>
    </chartFormat>
    <chartFormat chart="1" format="63">
      <pivotArea type="data" outline="0" fieldPosition="0">
        <references count="2">
          <reference field="4294967294" count="1" selected="0">
            <x v="1"/>
          </reference>
          <reference field="2" count="1" selected="0">
            <x v="6"/>
          </reference>
        </references>
      </pivotArea>
    </chartFormat>
    <chartFormat chart="1" format="64">
      <pivotArea type="data" outline="0" fieldPosition="0">
        <references count="2">
          <reference field="4294967294" count="1" selected="0">
            <x v="1"/>
          </reference>
          <reference field="2" count="1" selected="0">
            <x v="7"/>
          </reference>
        </references>
      </pivotArea>
    </chartFormat>
    <chartFormat chart="1" format="65">
      <pivotArea type="data" outline="0" fieldPosition="0">
        <references count="2">
          <reference field="4294967294" count="1" selected="0">
            <x v="1"/>
          </reference>
          <reference field="2" count="1" selected="0">
            <x v="8"/>
          </reference>
        </references>
      </pivotArea>
    </chartFormat>
    <chartFormat chart="1" format="66">
      <pivotArea type="data" outline="0" fieldPosition="0">
        <references count="2">
          <reference field="4294967294" count="1" selected="0">
            <x v="1"/>
          </reference>
          <reference field="2" count="1" selected="0">
            <x v="9"/>
          </reference>
        </references>
      </pivotArea>
    </chartFormat>
    <chartFormat chart="1" format="67">
      <pivotArea type="data" outline="0" fieldPosition="0">
        <references count="2">
          <reference field="4294967294" count="1" selected="0">
            <x v="1"/>
          </reference>
          <reference field="2" count="1" selected="0">
            <x v="10"/>
          </reference>
        </references>
      </pivotArea>
    </chartFormat>
    <chartFormat chart="1" format="68">
      <pivotArea type="data" outline="0" fieldPosition="0">
        <references count="2">
          <reference field="4294967294" count="1" selected="0">
            <x v="1"/>
          </reference>
          <reference field="2" count="1" selected="0">
            <x v="11"/>
          </reference>
        </references>
      </pivotArea>
    </chartFormat>
    <chartFormat chart="1" format="69">
      <pivotArea type="data" outline="0" fieldPosition="0">
        <references count="2">
          <reference field="4294967294" count="1" selected="0">
            <x v="1"/>
          </reference>
          <reference field="2" count="1" selected="0">
            <x v="12"/>
          </reference>
        </references>
      </pivotArea>
    </chartFormat>
    <chartFormat chart="1" format="70">
      <pivotArea type="data" outline="0" fieldPosition="0">
        <references count="2">
          <reference field="4294967294" count="1" selected="0">
            <x v="1"/>
          </reference>
          <reference field="2" count="1" selected="0">
            <x v="13"/>
          </reference>
        </references>
      </pivotArea>
    </chartFormat>
    <chartFormat chart="1" format="71">
      <pivotArea type="data" outline="0" fieldPosition="0">
        <references count="2">
          <reference field="4294967294" count="1" selected="0">
            <x v="1"/>
          </reference>
          <reference field="2" count="1" selected="0">
            <x v="14"/>
          </reference>
        </references>
      </pivotArea>
    </chartFormat>
    <chartFormat chart="1" format="72">
      <pivotArea type="data" outline="0" fieldPosition="0">
        <references count="2">
          <reference field="4294967294" count="1" selected="0">
            <x v="1"/>
          </reference>
          <reference field="2" count="1" selected="0">
            <x v="15"/>
          </reference>
        </references>
      </pivotArea>
    </chartFormat>
    <chartFormat chart="1" format="73">
      <pivotArea type="data" outline="0" fieldPosition="0">
        <references count="2">
          <reference field="4294967294" count="1" selected="0">
            <x v="1"/>
          </reference>
          <reference field="2" count="1" selected="0">
            <x v="16"/>
          </reference>
        </references>
      </pivotArea>
    </chartFormat>
    <chartFormat chart="1" format="74">
      <pivotArea type="data" outline="0" fieldPosition="0">
        <references count="2">
          <reference field="4294967294" count="1" selected="0">
            <x v="1"/>
          </reference>
          <reference field="2" count="1" selected="0">
            <x v="17"/>
          </reference>
        </references>
      </pivotArea>
    </chartFormat>
    <chartFormat chart="1" format="75">
      <pivotArea type="data" outline="0" fieldPosition="0">
        <references count="2">
          <reference field="4294967294" count="1" selected="0">
            <x v="1"/>
          </reference>
          <reference field="2" count="1" selected="0">
            <x v="18"/>
          </reference>
        </references>
      </pivotArea>
    </chartFormat>
    <chartFormat chart="1" format="76">
      <pivotArea type="data" outline="0" fieldPosition="0">
        <references count="2">
          <reference field="4294967294" count="1" selected="0">
            <x v="1"/>
          </reference>
          <reference field="2" count="1" selected="0">
            <x v="19"/>
          </reference>
        </references>
      </pivotArea>
    </chartFormat>
    <chartFormat chart="1" format="77">
      <pivotArea type="data" outline="0" fieldPosition="0">
        <references count="2">
          <reference field="4294967294" count="1" selected="0">
            <x v="1"/>
          </reference>
          <reference field="2" count="1" selected="0">
            <x v="20"/>
          </reference>
        </references>
      </pivotArea>
    </chartFormat>
    <chartFormat chart="1" format="78">
      <pivotArea type="data" outline="0" fieldPosition="0">
        <references count="2">
          <reference field="4294967294" count="1" selected="0">
            <x v="1"/>
          </reference>
          <reference field="2" count="1" selected="0">
            <x v="21"/>
          </reference>
        </references>
      </pivotArea>
    </chartFormat>
    <chartFormat chart="1" format="79">
      <pivotArea type="data" outline="0" fieldPosition="0">
        <references count="2">
          <reference field="4294967294" count="1" selected="0">
            <x v="1"/>
          </reference>
          <reference field="2" count="1" selected="0">
            <x v="22"/>
          </reference>
        </references>
      </pivotArea>
    </chartFormat>
    <chartFormat chart="1" format="80">
      <pivotArea type="data" outline="0" fieldPosition="0">
        <references count="2">
          <reference field="4294967294" count="1" selected="0">
            <x v="1"/>
          </reference>
          <reference field="2" count="1" selected="0">
            <x v="23"/>
          </reference>
        </references>
      </pivotArea>
    </chartFormat>
    <chartFormat chart="1" format="81">
      <pivotArea type="data" outline="0" fieldPosition="0">
        <references count="2">
          <reference field="4294967294" count="1" selected="0">
            <x v="1"/>
          </reference>
          <reference field="2" count="1" selected="0">
            <x v="24"/>
          </reference>
        </references>
      </pivotArea>
    </chartFormat>
    <chartFormat chart="1" format="82">
      <pivotArea type="data" outline="0" fieldPosition="0">
        <references count="2">
          <reference field="4294967294" count="1" selected="0">
            <x v="1"/>
          </reference>
          <reference field="2" count="1" selected="0">
            <x v="25"/>
          </reference>
        </references>
      </pivotArea>
    </chartFormat>
    <chartFormat chart="1" format="83">
      <pivotArea type="data" outline="0" fieldPosition="0">
        <references count="2">
          <reference field="4294967294" count="1" selected="0">
            <x v="1"/>
          </reference>
          <reference field="2" count="1" selected="0">
            <x v="26"/>
          </reference>
        </references>
      </pivotArea>
    </chartFormat>
    <chartFormat chart="1" format="84">
      <pivotArea type="data" outline="0" fieldPosition="0">
        <references count="2">
          <reference field="4294967294" count="1" selected="0">
            <x v="1"/>
          </reference>
          <reference field="2" count="1" selected="0">
            <x v="27"/>
          </reference>
        </references>
      </pivotArea>
    </chartFormat>
    <chartFormat chart="1" format="85">
      <pivotArea type="data" outline="0" fieldPosition="0">
        <references count="2">
          <reference field="4294967294" count="1" selected="0">
            <x v="1"/>
          </reference>
          <reference field="2" count="1" selected="0">
            <x v="28"/>
          </reference>
        </references>
      </pivotArea>
    </chartFormat>
    <chartFormat chart="1" format="86">
      <pivotArea type="data" outline="0" fieldPosition="0">
        <references count="2">
          <reference field="4294967294" count="1" selected="0">
            <x v="1"/>
          </reference>
          <reference field="2" count="1" selected="0">
            <x v="29"/>
          </reference>
        </references>
      </pivotArea>
    </chartFormat>
    <chartFormat chart="1" format="87">
      <pivotArea type="data" outline="0" fieldPosition="0">
        <references count="2">
          <reference field="4294967294" count="1" selected="0">
            <x v="1"/>
          </reference>
          <reference field="2" count="1" selected="0">
            <x v="30"/>
          </reference>
        </references>
      </pivotArea>
    </chartFormat>
    <chartFormat chart="1" format="88">
      <pivotArea type="data" outline="0" fieldPosition="0">
        <references count="2">
          <reference field="4294967294" count="1" selected="0">
            <x v="1"/>
          </reference>
          <reference field="2" count="1" selected="0">
            <x v="31"/>
          </reference>
        </references>
      </pivotArea>
    </chartFormat>
    <chartFormat chart="1" format="89">
      <pivotArea type="data" outline="0" fieldPosition="0">
        <references count="2">
          <reference field="4294967294" count="1" selected="0">
            <x v="1"/>
          </reference>
          <reference field="2" count="1" selected="0">
            <x v="32"/>
          </reference>
        </references>
      </pivotArea>
    </chartFormat>
    <chartFormat chart="1" format="90">
      <pivotArea type="data" outline="0" fieldPosition="0">
        <references count="2">
          <reference field="4294967294" count="1" selected="0">
            <x v="1"/>
          </reference>
          <reference field="2" count="1" selected="0">
            <x v="33"/>
          </reference>
        </references>
      </pivotArea>
    </chartFormat>
    <chartFormat chart="1" format="91">
      <pivotArea type="data" outline="0" fieldPosition="0">
        <references count="2">
          <reference field="4294967294" count="1" selected="0">
            <x v="1"/>
          </reference>
          <reference field="2" count="1" selected="0">
            <x v="34"/>
          </reference>
        </references>
      </pivotArea>
    </chartFormat>
    <chartFormat chart="1" format="92">
      <pivotArea type="data" outline="0" fieldPosition="0">
        <references count="2">
          <reference field="4294967294" count="1" selected="0">
            <x v="1"/>
          </reference>
          <reference field="2" count="1" selected="0">
            <x v="35"/>
          </reference>
        </references>
      </pivotArea>
    </chartFormat>
    <chartFormat chart="1" format="93">
      <pivotArea type="data" outline="0" fieldPosition="0">
        <references count="2">
          <reference field="4294967294" count="1" selected="0">
            <x v="1"/>
          </reference>
          <reference field="2" count="1" selected="0">
            <x v="36"/>
          </reference>
        </references>
      </pivotArea>
    </chartFormat>
    <chartFormat chart="1" format="94">
      <pivotArea type="data" outline="0" fieldPosition="0">
        <references count="2">
          <reference field="4294967294" count="1" selected="0">
            <x v="1"/>
          </reference>
          <reference field="2" count="1" selected="0">
            <x v="37"/>
          </reference>
        </references>
      </pivotArea>
    </chartFormat>
    <chartFormat chart="1" format="95">
      <pivotArea type="data" outline="0" fieldPosition="0">
        <references count="2">
          <reference field="4294967294" count="1" selected="0">
            <x v="1"/>
          </reference>
          <reference field="2" count="1" selected="0">
            <x v="38"/>
          </reference>
        </references>
      </pivotArea>
    </chartFormat>
    <chartFormat chart="1" format="96">
      <pivotArea type="data" outline="0" fieldPosition="0">
        <references count="2">
          <reference field="4294967294" count="1" selected="0">
            <x v="1"/>
          </reference>
          <reference field="2" count="1" selected="0">
            <x v="39"/>
          </reference>
        </references>
      </pivotArea>
    </chartFormat>
    <chartFormat chart="1" format="97">
      <pivotArea type="data" outline="0" fieldPosition="0">
        <references count="2">
          <reference field="4294967294" count="1" selected="0">
            <x v="1"/>
          </reference>
          <reference field="2" count="1" selected="0">
            <x v="40"/>
          </reference>
        </references>
      </pivotArea>
    </chartFormat>
    <chartFormat chart="1" format="98">
      <pivotArea type="data" outline="0" fieldPosition="0">
        <references count="2">
          <reference field="4294967294" count="1" selected="0">
            <x v="1"/>
          </reference>
          <reference field="2" count="1" selected="0">
            <x v="41"/>
          </reference>
        </references>
      </pivotArea>
    </chartFormat>
    <chartFormat chart="1" format="99">
      <pivotArea type="data" outline="0" fieldPosition="0">
        <references count="2">
          <reference field="4294967294" count="1" selected="0">
            <x v="1"/>
          </reference>
          <reference field="2" count="1" selected="0">
            <x v="42"/>
          </reference>
        </references>
      </pivotArea>
    </chartFormat>
    <chartFormat chart="1" format="100">
      <pivotArea type="data" outline="0" fieldPosition="0">
        <references count="2">
          <reference field="4294967294" count="1" selected="0">
            <x v="1"/>
          </reference>
          <reference field="2" count="1" selected="0">
            <x v="43"/>
          </reference>
        </references>
      </pivotArea>
    </chartFormat>
    <chartFormat chart="1" format="101">
      <pivotArea type="data" outline="0" fieldPosition="0">
        <references count="2">
          <reference field="4294967294" count="1" selected="0">
            <x v="1"/>
          </reference>
          <reference field="2" count="1" selected="0">
            <x v="44"/>
          </reference>
        </references>
      </pivotArea>
    </chartFormat>
    <chartFormat chart="1" format="102">
      <pivotArea type="data" outline="0" fieldPosition="0">
        <references count="2">
          <reference field="4294967294" count="1" selected="0">
            <x v="1"/>
          </reference>
          <reference field="2" count="1" selected="0">
            <x v="45"/>
          </reference>
        </references>
      </pivotArea>
    </chartFormat>
    <chartFormat chart="1" format="103">
      <pivotArea type="data" outline="0" fieldPosition="0">
        <references count="2">
          <reference field="4294967294" count="1" selected="0">
            <x v="1"/>
          </reference>
          <reference field="2" count="1" selected="0">
            <x v="46"/>
          </reference>
        </references>
      </pivotArea>
    </chartFormat>
    <chartFormat chart="1" format="104">
      <pivotArea type="data" outline="0" fieldPosition="0">
        <references count="2">
          <reference field="4294967294" count="1" selected="0">
            <x v="1"/>
          </reference>
          <reference field="2" count="1" selected="0">
            <x v="47"/>
          </reference>
        </references>
      </pivotArea>
    </chartFormat>
    <chartFormat chart="1" format="105">
      <pivotArea type="data" outline="0" fieldPosition="0">
        <references count="2">
          <reference field="4294967294" count="1" selected="0">
            <x v="1"/>
          </reference>
          <reference field="2" count="1" selected="0">
            <x v="48"/>
          </reference>
        </references>
      </pivotArea>
    </chartFormat>
    <chartFormat chart="1" format="106">
      <pivotArea type="data" outline="0" fieldPosition="0">
        <references count="2">
          <reference field="4294967294" count="1" selected="0">
            <x v="1"/>
          </reference>
          <reference field="2" count="1" selected="0">
            <x v="49"/>
          </reference>
        </references>
      </pivotArea>
    </chartFormat>
    <chartFormat chart="1" format="107">
      <pivotArea type="data" outline="0" fieldPosition="0">
        <references count="2">
          <reference field="4294967294" count="1" selected="0">
            <x v="1"/>
          </reference>
          <reference field="2" count="1" selected="0">
            <x v="50"/>
          </reference>
        </references>
      </pivotArea>
    </chartFormat>
    <chartFormat chart="1" format="108" series="1">
      <pivotArea type="data" outline="0" fieldPosition="0">
        <references count="1">
          <reference field="4294967294" count="1" selected="0">
            <x v="2"/>
          </reference>
        </references>
      </pivotArea>
    </chartFormat>
    <chartFormat chart="1" format="109">
      <pivotArea type="data" outline="0" fieldPosition="0">
        <references count="2">
          <reference field="4294967294" count="1" selected="0">
            <x v="2"/>
          </reference>
          <reference field="2" count="1" selected="0">
            <x v="0"/>
          </reference>
        </references>
      </pivotArea>
    </chartFormat>
    <chartFormat chart="1" format="110">
      <pivotArea type="data" outline="0" fieldPosition="0">
        <references count="2">
          <reference field="4294967294" count="1" selected="0">
            <x v="2"/>
          </reference>
          <reference field="2" count="1" selected="0">
            <x v="1"/>
          </reference>
        </references>
      </pivotArea>
    </chartFormat>
    <chartFormat chart="1" format="111">
      <pivotArea type="data" outline="0" fieldPosition="0">
        <references count="2">
          <reference field="4294967294" count="1" selected="0">
            <x v="2"/>
          </reference>
          <reference field="2" count="1" selected="0">
            <x v="2"/>
          </reference>
        </references>
      </pivotArea>
    </chartFormat>
    <chartFormat chart="1" format="112">
      <pivotArea type="data" outline="0" fieldPosition="0">
        <references count="2">
          <reference field="4294967294" count="1" selected="0">
            <x v="2"/>
          </reference>
          <reference field="2" count="1" selected="0">
            <x v="3"/>
          </reference>
        </references>
      </pivotArea>
    </chartFormat>
    <chartFormat chart="1" format="113">
      <pivotArea type="data" outline="0" fieldPosition="0">
        <references count="2">
          <reference field="4294967294" count="1" selected="0">
            <x v="2"/>
          </reference>
          <reference field="2" count="1" selected="0">
            <x v="4"/>
          </reference>
        </references>
      </pivotArea>
    </chartFormat>
    <chartFormat chart="1" format="114">
      <pivotArea type="data" outline="0" fieldPosition="0">
        <references count="2">
          <reference field="4294967294" count="1" selected="0">
            <x v="2"/>
          </reference>
          <reference field="2" count="1" selected="0">
            <x v="5"/>
          </reference>
        </references>
      </pivotArea>
    </chartFormat>
    <chartFormat chart="1" format="115">
      <pivotArea type="data" outline="0" fieldPosition="0">
        <references count="2">
          <reference field="4294967294" count="1" selected="0">
            <x v="2"/>
          </reference>
          <reference field="2" count="1" selected="0">
            <x v="6"/>
          </reference>
        </references>
      </pivotArea>
    </chartFormat>
    <chartFormat chart="1" format="116">
      <pivotArea type="data" outline="0" fieldPosition="0">
        <references count="2">
          <reference field="4294967294" count="1" selected="0">
            <x v="2"/>
          </reference>
          <reference field="2" count="1" selected="0">
            <x v="7"/>
          </reference>
        </references>
      </pivotArea>
    </chartFormat>
    <chartFormat chart="1" format="117">
      <pivotArea type="data" outline="0" fieldPosition="0">
        <references count="2">
          <reference field="4294967294" count="1" selected="0">
            <x v="2"/>
          </reference>
          <reference field="2" count="1" selected="0">
            <x v="8"/>
          </reference>
        </references>
      </pivotArea>
    </chartFormat>
    <chartFormat chart="1" format="118">
      <pivotArea type="data" outline="0" fieldPosition="0">
        <references count="2">
          <reference field="4294967294" count="1" selected="0">
            <x v="2"/>
          </reference>
          <reference field="2" count="1" selected="0">
            <x v="9"/>
          </reference>
        </references>
      </pivotArea>
    </chartFormat>
    <chartFormat chart="1" format="119">
      <pivotArea type="data" outline="0" fieldPosition="0">
        <references count="2">
          <reference field="4294967294" count="1" selected="0">
            <x v="2"/>
          </reference>
          <reference field="2" count="1" selected="0">
            <x v="10"/>
          </reference>
        </references>
      </pivotArea>
    </chartFormat>
    <chartFormat chart="1" format="120">
      <pivotArea type="data" outline="0" fieldPosition="0">
        <references count="2">
          <reference field="4294967294" count="1" selected="0">
            <x v="2"/>
          </reference>
          <reference field="2" count="1" selected="0">
            <x v="11"/>
          </reference>
        </references>
      </pivotArea>
    </chartFormat>
    <chartFormat chart="1" format="121">
      <pivotArea type="data" outline="0" fieldPosition="0">
        <references count="2">
          <reference field="4294967294" count="1" selected="0">
            <x v="2"/>
          </reference>
          <reference field="2" count="1" selected="0">
            <x v="12"/>
          </reference>
        </references>
      </pivotArea>
    </chartFormat>
    <chartFormat chart="1" format="122">
      <pivotArea type="data" outline="0" fieldPosition="0">
        <references count="2">
          <reference field="4294967294" count="1" selected="0">
            <x v="2"/>
          </reference>
          <reference field="2" count="1" selected="0">
            <x v="13"/>
          </reference>
        </references>
      </pivotArea>
    </chartFormat>
    <chartFormat chart="1" format="123">
      <pivotArea type="data" outline="0" fieldPosition="0">
        <references count="2">
          <reference field="4294967294" count="1" selected="0">
            <x v="2"/>
          </reference>
          <reference field="2" count="1" selected="0">
            <x v="14"/>
          </reference>
        </references>
      </pivotArea>
    </chartFormat>
    <chartFormat chart="1" format="124">
      <pivotArea type="data" outline="0" fieldPosition="0">
        <references count="2">
          <reference field="4294967294" count="1" selected="0">
            <x v="2"/>
          </reference>
          <reference field="2" count="1" selected="0">
            <x v="15"/>
          </reference>
        </references>
      </pivotArea>
    </chartFormat>
    <chartFormat chart="1" format="125">
      <pivotArea type="data" outline="0" fieldPosition="0">
        <references count="2">
          <reference field="4294967294" count="1" selected="0">
            <x v="2"/>
          </reference>
          <reference field="2" count="1" selected="0">
            <x v="16"/>
          </reference>
        </references>
      </pivotArea>
    </chartFormat>
    <chartFormat chart="1" format="126">
      <pivotArea type="data" outline="0" fieldPosition="0">
        <references count="2">
          <reference field="4294967294" count="1" selected="0">
            <x v="2"/>
          </reference>
          <reference field="2" count="1" selected="0">
            <x v="17"/>
          </reference>
        </references>
      </pivotArea>
    </chartFormat>
    <chartFormat chart="1" format="127">
      <pivotArea type="data" outline="0" fieldPosition="0">
        <references count="2">
          <reference field="4294967294" count="1" selected="0">
            <x v="2"/>
          </reference>
          <reference field="2" count="1" selected="0">
            <x v="18"/>
          </reference>
        </references>
      </pivotArea>
    </chartFormat>
    <chartFormat chart="1" format="128">
      <pivotArea type="data" outline="0" fieldPosition="0">
        <references count="2">
          <reference field="4294967294" count="1" selected="0">
            <x v="2"/>
          </reference>
          <reference field="2" count="1" selected="0">
            <x v="19"/>
          </reference>
        </references>
      </pivotArea>
    </chartFormat>
    <chartFormat chart="1" format="129">
      <pivotArea type="data" outline="0" fieldPosition="0">
        <references count="2">
          <reference field="4294967294" count="1" selected="0">
            <x v="2"/>
          </reference>
          <reference field="2" count="1" selected="0">
            <x v="20"/>
          </reference>
        </references>
      </pivotArea>
    </chartFormat>
    <chartFormat chart="1" format="130">
      <pivotArea type="data" outline="0" fieldPosition="0">
        <references count="2">
          <reference field="4294967294" count="1" selected="0">
            <x v="2"/>
          </reference>
          <reference field="2" count="1" selected="0">
            <x v="21"/>
          </reference>
        </references>
      </pivotArea>
    </chartFormat>
    <chartFormat chart="1" format="131">
      <pivotArea type="data" outline="0" fieldPosition="0">
        <references count="2">
          <reference field="4294967294" count="1" selected="0">
            <x v="2"/>
          </reference>
          <reference field="2" count="1" selected="0">
            <x v="22"/>
          </reference>
        </references>
      </pivotArea>
    </chartFormat>
    <chartFormat chart="1" format="132">
      <pivotArea type="data" outline="0" fieldPosition="0">
        <references count="2">
          <reference field="4294967294" count="1" selected="0">
            <x v="2"/>
          </reference>
          <reference field="2" count="1" selected="0">
            <x v="23"/>
          </reference>
        </references>
      </pivotArea>
    </chartFormat>
    <chartFormat chart="1" format="133">
      <pivotArea type="data" outline="0" fieldPosition="0">
        <references count="2">
          <reference field="4294967294" count="1" selected="0">
            <x v="2"/>
          </reference>
          <reference field="2" count="1" selected="0">
            <x v="24"/>
          </reference>
        </references>
      </pivotArea>
    </chartFormat>
    <chartFormat chart="1" format="134">
      <pivotArea type="data" outline="0" fieldPosition="0">
        <references count="2">
          <reference field="4294967294" count="1" selected="0">
            <x v="2"/>
          </reference>
          <reference field="2" count="1" selected="0">
            <x v="25"/>
          </reference>
        </references>
      </pivotArea>
    </chartFormat>
    <chartFormat chart="1" format="135">
      <pivotArea type="data" outline="0" fieldPosition="0">
        <references count="2">
          <reference field="4294967294" count="1" selected="0">
            <x v="2"/>
          </reference>
          <reference field="2" count="1" selected="0">
            <x v="26"/>
          </reference>
        </references>
      </pivotArea>
    </chartFormat>
    <chartFormat chart="1" format="136">
      <pivotArea type="data" outline="0" fieldPosition="0">
        <references count="2">
          <reference field="4294967294" count="1" selected="0">
            <x v="2"/>
          </reference>
          <reference field="2" count="1" selected="0">
            <x v="27"/>
          </reference>
        </references>
      </pivotArea>
    </chartFormat>
    <chartFormat chart="1" format="137">
      <pivotArea type="data" outline="0" fieldPosition="0">
        <references count="2">
          <reference field="4294967294" count="1" selected="0">
            <x v="2"/>
          </reference>
          <reference field="2" count="1" selected="0">
            <x v="28"/>
          </reference>
        </references>
      </pivotArea>
    </chartFormat>
    <chartFormat chart="1" format="138">
      <pivotArea type="data" outline="0" fieldPosition="0">
        <references count="2">
          <reference field="4294967294" count="1" selected="0">
            <x v="2"/>
          </reference>
          <reference field="2" count="1" selected="0">
            <x v="29"/>
          </reference>
        </references>
      </pivotArea>
    </chartFormat>
    <chartFormat chart="1" format="139">
      <pivotArea type="data" outline="0" fieldPosition="0">
        <references count="2">
          <reference field="4294967294" count="1" selected="0">
            <x v="2"/>
          </reference>
          <reference field="2" count="1" selected="0">
            <x v="30"/>
          </reference>
        </references>
      </pivotArea>
    </chartFormat>
    <chartFormat chart="1" format="140">
      <pivotArea type="data" outline="0" fieldPosition="0">
        <references count="2">
          <reference field="4294967294" count="1" selected="0">
            <x v="2"/>
          </reference>
          <reference field="2" count="1" selected="0">
            <x v="31"/>
          </reference>
        </references>
      </pivotArea>
    </chartFormat>
    <chartFormat chart="1" format="141">
      <pivotArea type="data" outline="0" fieldPosition="0">
        <references count="2">
          <reference field="4294967294" count="1" selected="0">
            <x v="2"/>
          </reference>
          <reference field="2" count="1" selected="0">
            <x v="32"/>
          </reference>
        </references>
      </pivotArea>
    </chartFormat>
    <chartFormat chart="1" format="142">
      <pivotArea type="data" outline="0" fieldPosition="0">
        <references count="2">
          <reference field="4294967294" count="1" selected="0">
            <x v="2"/>
          </reference>
          <reference field="2" count="1" selected="0">
            <x v="33"/>
          </reference>
        </references>
      </pivotArea>
    </chartFormat>
    <chartFormat chart="1" format="143">
      <pivotArea type="data" outline="0" fieldPosition="0">
        <references count="2">
          <reference field="4294967294" count="1" selected="0">
            <x v="2"/>
          </reference>
          <reference field="2" count="1" selected="0">
            <x v="34"/>
          </reference>
        </references>
      </pivotArea>
    </chartFormat>
    <chartFormat chart="1" format="144">
      <pivotArea type="data" outline="0" fieldPosition="0">
        <references count="2">
          <reference field="4294967294" count="1" selected="0">
            <x v="2"/>
          </reference>
          <reference field="2" count="1" selected="0">
            <x v="35"/>
          </reference>
        </references>
      </pivotArea>
    </chartFormat>
    <chartFormat chart="1" format="145">
      <pivotArea type="data" outline="0" fieldPosition="0">
        <references count="2">
          <reference field="4294967294" count="1" selected="0">
            <x v="2"/>
          </reference>
          <reference field="2" count="1" selected="0">
            <x v="36"/>
          </reference>
        </references>
      </pivotArea>
    </chartFormat>
    <chartFormat chart="1" format="146">
      <pivotArea type="data" outline="0" fieldPosition="0">
        <references count="2">
          <reference field="4294967294" count="1" selected="0">
            <x v="2"/>
          </reference>
          <reference field="2" count="1" selected="0">
            <x v="37"/>
          </reference>
        </references>
      </pivotArea>
    </chartFormat>
    <chartFormat chart="1" format="147">
      <pivotArea type="data" outline="0" fieldPosition="0">
        <references count="2">
          <reference field="4294967294" count="1" selected="0">
            <x v="2"/>
          </reference>
          <reference field="2" count="1" selected="0">
            <x v="38"/>
          </reference>
        </references>
      </pivotArea>
    </chartFormat>
    <chartFormat chart="1" format="148">
      <pivotArea type="data" outline="0" fieldPosition="0">
        <references count="2">
          <reference field="4294967294" count="1" selected="0">
            <x v="2"/>
          </reference>
          <reference field="2" count="1" selected="0">
            <x v="39"/>
          </reference>
        </references>
      </pivotArea>
    </chartFormat>
    <chartFormat chart="1" format="149">
      <pivotArea type="data" outline="0" fieldPosition="0">
        <references count="2">
          <reference field="4294967294" count="1" selected="0">
            <x v="2"/>
          </reference>
          <reference field="2" count="1" selected="0">
            <x v="40"/>
          </reference>
        </references>
      </pivotArea>
    </chartFormat>
    <chartFormat chart="1" format="150">
      <pivotArea type="data" outline="0" fieldPosition="0">
        <references count="2">
          <reference field="4294967294" count="1" selected="0">
            <x v="2"/>
          </reference>
          <reference field="2" count="1" selected="0">
            <x v="41"/>
          </reference>
        </references>
      </pivotArea>
    </chartFormat>
    <chartFormat chart="1" format="151">
      <pivotArea type="data" outline="0" fieldPosition="0">
        <references count="2">
          <reference field="4294967294" count="1" selected="0">
            <x v="2"/>
          </reference>
          <reference field="2" count="1" selected="0">
            <x v="42"/>
          </reference>
        </references>
      </pivotArea>
    </chartFormat>
    <chartFormat chart="1" format="152">
      <pivotArea type="data" outline="0" fieldPosition="0">
        <references count="2">
          <reference field="4294967294" count="1" selected="0">
            <x v="2"/>
          </reference>
          <reference field="2" count="1" selected="0">
            <x v="43"/>
          </reference>
        </references>
      </pivotArea>
    </chartFormat>
    <chartFormat chart="1" format="153">
      <pivotArea type="data" outline="0" fieldPosition="0">
        <references count="2">
          <reference field="4294967294" count="1" selected="0">
            <x v="2"/>
          </reference>
          <reference field="2" count="1" selected="0">
            <x v="44"/>
          </reference>
        </references>
      </pivotArea>
    </chartFormat>
    <chartFormat chart="1" format="154">
      <pivotArea type="data" outline="0" fieldPosition="0">
        <references count="2">
          <reference field="4294967294" count="1" selected="0">
            <x v="2"/>
          </reference>
          <reference field="2" count="1" selected="0">
            <x v="45"/>
          </reference>
        </references>
      </pivotArea>
    </chartFormat>
    <chartFormat chart="1" format="155">
      <pivotArea type="data" outline="0" fieldPosition="0">
        <references count="2">
          <reference field="4294967294" count="1" selected="0">
            <x v="2"/>
          </reference>
          <reference field="2" count="1" selected="0">
            <x v="46"/>
          </reference>
        </references>
      </pivotArea>
    </chartFormat>
    <chartFormat chart="1" format="156">
      <pivotArea type="data" outline="0" fieldPosition="0">
        <references count="2">
          <reference field="4294967294" count="1" selected="0">
            <x v="2"/>
          </reference>
          <reference field="2" count="1" selected="0">
            <x v="47"/>
          </reference>
        </references>
      </pivotArea>
    </chartFormat>
    <chartFormat chart="1" format="157">
      <pivotArea type="data" outline="0" fieldPosition="0">
        <references count="2">
          <reference field="4294967294" count="1" selected="0">
            <x v="2"/>
          </reference>
          <reference field="2" count="1" selected="0">
            <x v="48"/>
          </reference>
        </references>
      </pivotArea>
    </chartFormat>
    <chartFormat chart="1" format="158">
      <pivotArea type="data" outline="0" fieldPosition="0">
        <references count="2">
          <reference field="4294967294" count="1" selected="0">
            <x v="2"/>
          </reference>
          <reference field="2" count="1" selected="0">
            <x v="49"/>
          </reference>
        </references>
      </pivotArea>
    </chartFormat>
    <chartFormat chart="1" format="159">
      <pivotArea type="data" outline="0" fieldPosition="0">
        <references count="2">
          <reference field="4294967294" count="1" selected="0">
            <x v="2"/>
          </reference>
          <reference field="2" count="1" selected="0">
            <x v="50"/>
          </reference>
        </references>
      </pivotArea>
    </chartFormat>
    <chartFormat chart="1" format="160" series="1">
      <pivotArea type="data" outline="0" fieldPosition="0">
        <references count="1">
          <reference field="4294967294" count="1" selected="0">
            <x v="3"/>
          </reference>
        </references>
      </pivotArea>
    </chartFormat>
    <chartFormat chart="1" format="161">
      <pivotArea type="data" outline="0" fieldPosition="0">
        <references count="2">
          <reference field="4294967294" count="1" selected="0">
            <x v="3"/>
          </reference>
          <reference field="2" count="1" selected="0">
            <x v="0"/>
          </reference>
        </references>
      </pivotArea>
    </chartFormat>
    <chartFormat chart="1" format="162">
      <pivotArea type="data" outline="0" fieldPosition="0">
        <references count="2">
          <reference field="4294967294" count="1" selected="0">
            <x v="3"/>
          </reference>
          <reference field="2" count="1" selected="0">
            <x v="1"/>
          </reference>
        </references>
      </pivotArea>
    </chartFormat>
    <chartFormat chart="1" format="163">
      <pivotArea type="data" outline="0" fieldPosition="0">
        <references count="2">
          <reference field="4294967294" count="1" selected="0">
            <x v="3"/>
          </reference>
          <reference field="2" count="1" selected="0">
            <x v="2"/>
          </reference>
        </references>
      </pivotArea>
    </chartFormat>
    <chartFormat chart="1" format="164">
      <pivotArea type="data" outline="0" fieldPosition="0">
        <references count="2">
          <reference field="4294967294" count="1" selected="0">
            <x v="3"/>
          </reference>
          <reference field="2" count="1" selected="0">
            <x v="3"/>
          </reference>
        </references>
      </pivotArea>
    </chartFormat>
    <chartFormat chart="1" format="165">
      <pivotArea type="data" outline="0" fieldPosition="0">
        <references count="2">
          <reference field="4294967294" count="1" selected="0">
            <x v="3"/>
          </reference>
          <reference field="2" count="1" selected="0">
            <x v="4"/>
          </reference>
        </references>
      </pivotArea>
    </chartFormat>
    <chartFormat chart="1" format="166">
      <pivotArea type="data" outline="0" fieldPosition="0">
        <references count="2">
          <reference field="4294967294" count="1" selected="0">
            <x v="3"/>
          </reference>
          <reference field="2" count="1" selected="0">
            <x v="5"/>
          </reference>
        </references>
      </pivotArea>
    </chartFormat>
    <chartFormat chart="1" format="167">
      <pivotArea type="data" outline="0" fieldPosition="0">
        <references count="2">
          <reference field="4294967294" count="1" selected="0">
            <x v="3"/>
          </reference>
          <reference field="2" count="1" selected="0">
            <x v="6"/>
          </reference>
        </references>
      </pivotArea>
    </chartFormat>
    <chartFormat chart="1" format="168">
      <pivotArea type="data" outline="0" fieldPosition="0">
        <references count="2">
          <reference field="4294967294" count="1" selected="0">
            <x v="3"/>
          </reference>
          <reference field="2" count="1" selected="0">
            <x v="7"/>
          </reference>
        </references>
      </pivotArea>
    </chartFormat>
    <chartFormat chart="1" format="169">
      <pivotArea type="data" outline="0" fieldPosition="0">
        <references count="2">
          <reference field="4294967294" count="1" selected="0">
            <x v="3"/>
          </reference>
          <reference field="2" count="1" selected="0">
            <x v="8"/>
          </reference>
        </references>
      </pivotArea>
    </chartFormat>
    <chartFormat chart="1" format="170">
      <pivotArea type="data" outline="0" fieldPosition="0">
        <references count="2">
          <reference field="4294967294" count="1" selected="0">
            <x v="3"/>
          </reference>
          <reference field="2" count="1" selected="0">
            <x v="9"/>
          </reference>
        </references>
      </pivotArea>
    </chartFormat>
    <chartFormat chart="1" format="171">
      <pivotArea type="data" outline="0" fieldPosition="0">
        <references count="2">
          <reference field="4294967294" count="1" selected="0">
            <x v="3"/>
          </reference>
          <reference field="2" count="1" selected="0">
            <x v="10"/>
          </reference>
        </references>
      </pivotArea>
    </chartFormat>
    <chartFormat chart="1" format="172">
      <pivotArea type="data" outline="0" fieldPosition="0">
        <references count="2">
          <reference field="4294967294" count="1" selected="0">
            <x v="3"/>
          </reference>
          <reference field="2" count="1" selected="0">
            <x v="11"/>
          </reference>
        </references>
      </pivotArea>
    </chartFormat>
    <chartFormat chart="1" format="173">
      <pivotArea type="data" outline="0" fieldPosition="0">
        <references count="2">
          <reference field="4294967294" count="1" selected="0">
            <x v="3"/>
          </reference>
          <reference field="2" count="1" selected="0">
            <x v="12"/>
          </reference>
        </references>
      </pivotArea>
    </chartFormat>
    <chartFormat chart="1" format="174">
      <pivotArea type="data" outline="0" fieldPosition="0">
        <references count="2">
          <reference field="4294967294" count="1" selected="0">
            <x v="3"/>
          </reference>
          <reference field="2" count="1" selected="0">
            <x v="13"/>
          </reference>
        </references>
      </pivotArea>
    </chartFormat>
    <chartFormat chart="1" format="175">
      <pivotArea type="data" outline="0" fieldPosition="0">
        <references count="2">
          <reference field="4294967294" count="1" selected="0">
            <x v="3"/>
          </reference>
          <reference field="2" count="1" selected="0">
            <x v="14"/>
          </reference>
        </references>
      </pivotArea>
    </chartFormat>
    <chartFormat chart="1" format="176">
      <pivotArea type="data" outline="0" fieldPosition="0">
        <references count="2">
          <reference field="4294967294" count="1" selected="0">
            <x v="3"/>
          </reference>
          <reference field="2" count="1" selected="0">
            <x v="15"/>
          </reference>
        </references>
      </pivotArea>
    </chartFormat>
    <chartFormat chart="1" format="177">
      <pivotArea type="data" outline="0" fieldPosition="0">
        <references count="2">
          <reference field="4294967294" count="1" selected="0">
            <x v="3"/>
          </reference>
          <reference field="2" count="1" selected="0">
            <x v="16"/>
          </reference>
        </references>
      </pivotArea>
    </chartFormat>
    <chartFormat chart="1" format="178">
      <pivotArea type="data" outline="0" fieldPosition="0">
        <references count="2">
          <reference field="4294967294" count="1" selected="0">
            <x v="3"/>
          </reference>
          <reference field="2" count="1" selected="0">
            <x v="17"/>
          </reference>
        </references>
      </pivotArea>
    </chartFormat>
    <chartFormat chart="1" format="179">
      <pivotArea type="data" outline="0" fieldPosition="0">
        <references count="2">
          <reference field="4294967294" count="1" selected="0">
            <x v="3"/>
          </reference>
          <reference field="2" count="1" selected="0">
            <x v="18"/>
          </reference>
        </references>
      </pivotArea>
    </chartFormat>
    <chartFormat chart="1" format="180">
      <pivotArea type="data" outline="0" fieldPosition="0">
        <references count="2">
          <reference field="4294967294" count="1" selected="0">
            <x v="3"/>
          </reference>
          <reference field="2" count="1" selected="0">
            <x v="19"/>
          </reference>
        </references>
      </pivotArea>
    </chartFormat>
    <chartFormat chart="1" format="181">
      <pivotArea type="data" outline="0" fieldPosition="0">
        <references count="2">
          <reference field="4294967294" count="1" selected="0">
            <x v="3"/>
          </reference>
          <reference field="2" count="1" selected="0">
            <x v="20"/>
          </reference>
        </references>
      </pivotArea>
    </chartFormat>
    <chartFormat chart="1" format="182">
      <pivotArea type="data" outline="0" fieldPosition="0">
        <references count="2">
          <reference field="4294967294" count="1" selected="0">
            <x v="3"/>
          </reference>
          <reference field="2" count="1" selected="0">
            <x v="21"/>
          </reference>
        </references>
      </pivotArea>
    </chartFormat>
    <chartFormat chart="1" format="183">
      <pivotArea type="data" outline="0" fieldPosition="0">
        <references count="2">
          <reference field="4294967294" count="1" selected="0">
            <x v="3"/>
          </reference>
          <reference field="2" count="1" selected="0">
            <x v="22"/>
          </reference>
        </references>
      </pivotArea>
    </chartFormat>
    <chartFormat chart="1" format="184">
      <pivotArea type="data" outline="0" fieldPosition="0">
        <references count="2">
          <reference field="4294967294" count="1" selected="0">
            <x v="3"/>
          </reference>
          <reference field="2" count="1" selected="0">
            <x v="23"/>
          </reference>
        </references>
      </pivotArea>
    </chartFormat>
    <chartFormat chart="1" format="185">
      <pivotArea type="data" outline="0" fieldPosition="0">
        <references count="2">
          <reference field="4294967294" count="1" selected="0">
            <x v="3"/>
          </reference>
          <reference field="2" count="1" selected="0">
            <x v="24"/>
          </reference>
        </references>
      </pivotArea>
    </chartFormat>
    <chartFormat chart="1" format="186">
      <pivotArea type="data" outline="0" fieldPosition="0">
        <references count="2">
          <reference field="4294967294" count="1" selected="0">
            <x v="3"/>
          </reference>
          <reference field="2" count="1" selected="0">
            <x v="25"/>
          </reference>
        </references>
      </pivotArea>
    </chartFormat>
    <chartFormat chart="1" format="187">
      <pivotArea type="data" outline="0" fieldPosition="0">
        <references count="2">
          <reference field="4294967294" count="1" selected="0">
            <x v="3"/>
          </reference>
          <reference field="2" count="1" selected="0">
            <x v="26"/>
          </reference>
        </references>
      </pivotArea>
    </chartFormat>
    <chartFormat chart="1" format="188">
      <pivotArea type="data" outline="0" fieldPosition="0">
        <references count="2">
          <reference field="4294967294" count="1" selected="0">
            <x v="3"/>
          </reference>
          <reference field="2" count="1" selected="0">
            <x v="27"/>
          </reference>
        </references>
      </pivotArea>
    </chartFormat>
    <chartFormat chart="1" format="189">
      <pivotArea type="data" outline="0" fieldPosition="0">
        <references count="2">
          <reference field="4294967294" count="1" selected="0">
            <x v="3"/>
          </reference>
          <reference field="2" count="1" selected="0">
            <x v="28"/>
          </reference>
        </references>
      </pivotArea>
    </chartFormat>
    <chartFormat chart="1" format="190">
      <pivotArea type="data" outline="0" fieldPosition="0">
        <references count="2">
          <reference field="4294967294" count="1" selected="0">
            <x v="3"/>
          </reference>
          <reference field="2" count="1" selected="0">
            <x v="29"/>
          </reference>
        </references>
      </pivotArea>
    </chartFormat>
    <chartFormat chart="1" format="191">
      <pivotArea type="data" outline="0" fieldPosition="0">
        <references count="2">
          <reference field="4294967294" count="1" selected="0">
            <x v="3"/>
          </reference>
          <reference field="2" count="1" selected="0">
            <x v="30"/>
          </reference>
        </references>
      </pivotArea>
    </chartFormat>
    <chartFormat chart="1" format="192">
      <pivotArea type="data" outline="0" fieldPosition="0">
        <references count="2">
          <reference field="4294967294" count="1" selected="0">
            <x v="3"/>
          </reference>
          <reference field="2" count="1" selected="0">
            <x v="31"/>
          </reference>
        </references>
      </pivotArea>
    </chartFormat>
    <chartFormat chart="1" format="193">
      <pivotArea type="data" outline="0" fieldPosition="0">
        <references count="2">
          <reference field="4294967294" count="1" selected="0">
            <x v="3"/>
          </reference>
          <reference field="2" count="1" selected="0">
            <x v="32"/>
          </reference>
        </references>
      </pivotArea>
    </chartFormat>
    <chartFormat chart="1" format="194">
      <pivotArea type="data" outline="0" fieldPosition="0">
        <references count="2">
          <reference field="4294967294" count="1" selected="0">
            <x v="3"/>
          </reference>
          <reference field="2" count="1" selected="0">
            <x v="33"/>
          </reference>
        </references>
      </pivotArea>
    </chartFormat>
    <chartFormat chart="1" format="195">
      <pivotArea type="data" outline="0" fieldPosition="0">
        <references count="2">
          <reference field="4294967294" count="1" selected="0">
            <x v="3"/>
          </reference>
          <reference field="2" count="1" selected="0">
            <x v="34"/>
          </reference>
        </references>
      </pivotArea>
    </chartFormat>
    <chartFormat chart="1" format="196">
      <pivotArea type="data" outline="0" fieldPosition="0">
        <references count="2">
          <reference field="4294967294" count="1" selected="0">
            <x v="3"/>
          </reference>
          <reference field="2" count="1" selected="0">
            <x v="35"/>
          </reference>
        </references>
      </pivotArea>
    </chartFormat>
    <chartFormat chart="1" format="197">
      <pivotArea type="data" outline="0" fieldPosition="0">
        <references count="2">
          <reference field="4294967294" count="1" selected="0">
            <x v="3"/>
          </reference>
          <reference field="2" count="1" selected="0">
            <x v="36"/>
          </reference>
        </references>
      </pivotArea>
    </chartFormat>
    <chartFormat chart="1" format="198">
      <pivotArea type="data" outline="0" fieldPosition="0">
        <references count="2">
          <reference field="4294967294" count="1" selected="0">
            <x v="3"/>
          </reference>
          <reference field="2" count="1" selected="0">
            <x v="37"/>
          </reference>
        </references>
      </pivotArea>
    </chartFormat>
    <chartFormat chart="1" format="199">
      <pivotArea type="data" outline="0" fieldPosition="0">
        <references count="2">
          <reference field="4294967294" count="1" selected="0">
            <x v="3"/>
          </reference>
          <reference field="2" count="1" selected="0">
            <x v="38"/>
          </reference>
        </references>
      </pivotArea>
    </chartFormat>
    <chartFormat chart="1" format="200">
      <pivotArea type="data" outline="0" fieldPosition="0">
        <references count="2">
          <reference field="4294967294" count="1" selected="0">
            <x v="3"/>
          </reference>
          <reference field="2" count="1" selected="0">
            <x v="39"/>
          </reference>
        </references>
      </pivotArea>
    </chartFormat>
    <chartFormat chart="1" format="201">
      <pivotArea type="data" outline="0" fieldPosition="0">
        <references count="2">
          <reference field="4294967294" count="1" selected="0">
            <x v="3"/>
          </reference>
          <reference field="2" count="1" selected="0">
            <x v="40"/>
          </reference>
        </references>
      </pivotArea>
    </chartFormat>
    <chartFormat chart="1" format="202">
      <pivotArea type="data" outline="0" fieldPosition="0">
        <references count="2">
          <reference field="4294967294" count="1" selected="0">
            <x v="3"/>
          </reference>
          <reference field="2" count="1" selected="0">
            <x v="41"/>
          </reference>
        </references>
      </pivotArea>
    </chartFormat>
    <chartFormat chart="1" format="203">
      <pivotArea type="data" outline="0" fieldPosition="0">
        <references count="2">
          <reference field="4294967294" count="1" selected="0">
            <x v="3"/>
          </reference>
          <reference field="2" count="1" selected="0">
            <x v="42"/>
          </reference>
        </references>
      </pivotArea>
    </chartFormat>
    <chartFormat chart="1" format="204">
      <pivotArea type="data" outline="0" fieldPosition="0">
        <references count="2">
          <reference field="4294967294" count="1" selected="0">
            <x v="3"/>
          </reference>
          <reference field="2" count="1" selected="0">
            <x v="43"/>
          </reference>
        </references>
      </pivotArea>
    </chartFormat>
    <chartFormat chart="1" format="205">
      <pivotArea type="data" outline="0" fieldPosition="0">
        <references count="2">
          <reference field="4294967294" count="1" selected="0">
            <x v="3"/>
          </reference>
          <reference field="2" count="1" selected="0">
            <x v="44"/>
          </reference>
        </references>
      </pivotArea>
    </chartFormat>
    <chartFormat chart="1" format="206">
      <pivotArea type="data" outline="0" fieldPosition="0">
        <references count="2">
          <reference field="4294967294" count="1" selected="0">
            <x v="3"/>
          </reference>
          <reference field="2" count="1" selected="0">
            <x v="45"/>
          </reference>
        </references>
      </pivotArea>
    </chartFormat>
    <chartFormat chart="1" format="207">
      <pivotArea type="data" outline="0" fieldPosition="0">
        <references count="2">
          <reference field="4294967294" count="1" selected="0">
            <x v="3"/>
          </reference>
          <reference field="2" count="1" selected="0">
            <x v="46"/>
          </reference>
        </references>
      </pivotArea>
    </chartFormat>
    <chartFormat chart="1" format="208">
      <pivotArea type="data" outline="0" fieldPosition="0">
        <references count="2">
          <reference field="4294967294" count="1" selected="0">
            <x v="3"/>
          </reference>
          <reference field="2" count="1" selected="0">
            <x v="47"/>
          </reference>
        </references>
      </pivotArea>
    </chartFormat>
    <chartFormat chart="1" format="209">
      <pivotArea type="data" outline="0" fieldPosition="0">
        <references count="2">
          <reference field="4294967294" count="1" selected="0">
            <x v="3"/>
          </reference>
          <reference field="2" count="1" selected="0">
            <x v="48"/>
          </reference>
        </references>
      </pivotArea>
    </chartFormat>
    <chartFormat chart="1" format="210">
      <pivotArea type="data" outline="0" fieldPosition="0">
        <references count="2">
          <reference field="4294967294" count="1" selected="0">
            <x v="3"/>
          </reference>
          <reference field="2" count="1" selected="0">
            <x v="49"/>
          </reference>
        </references>
      </pivotArea>
    </chartFormat>
    <chartFormat chart="1" format="211">
      <pivotArea type="data" outline="0" fieldPosition="0">
        <references count="2">
          <reference field="4294967294" count="1" selected="0">
            <x v="3"/>
          </reference>
          <reference field="2" count="1" selected="0">
            <x v="50"/>
          </reference>
        </references>
      </pivotArea>
    </chartFormat>
    <chartFormat chart="2" format="212" series="1">
      <pivotArea type="data" outline="0" fieldPosition="0">
        <references count="1">
          <reference field="4294967294" count="1" selected="0">
            <x v="0"/>
          </reference>
        </references>
      </pivotArea>
    </chartFormat>
    <chartFormat chart="2" format="213">
      <pivotArea type="data" outline="0" fieldPosition="0">
        <references count="2">
          <reference field="4294967294" count="1" selected="0">
            <x v="0"/>
          </reference>
          <reference field="2" count="1" selected="0">
            <x v="0"/>
          </reference>
        </references>
      </pivotArea>
    </chartFormat>
    <chartFormat chart="2" format="214">
      <pivotArea type="data" outline="0" fieldPosition="0">
        <references count="2">
          <reference field="4294967294" count="1" selected="0">
            <x v="0"/>
          </reference>
          <reference field="2" count="1" selected="0">
            <x v="1"/>
          </reference>
        </references>
      </pivotArea>
    </chartFormat>
    <chartFormat chart="2" format="215">
      <pivotArea type="data" outline="0" fieldPosition="0">
        <references count="2">
          <reference field="4294967294" count="1" selected="0">
            <x v="0"/>
          </reference>
          <reference field="2" count="1" selected="0">
            <x v="2"/>
          </reference>
        </references>
      </pivotArea>
    </chartFormat>
    <chartFormat chart="2" format="216">
      <pivotArea type="data" outline="0" fieldPosition="0">
        <references count="2">
          <reference field="4294967294" count="1" selected="0">
            <x v="0"/>
          </reference>
          <reference field="2" count="1" selected="0">
            <x v="3"/>
          </reference>
        </references>
      </pivotArea>
    </chartFormat>
    <chartFormat chart="2" format="217">
      <pivotArea type="data" outline="0" fieldPosition="0">
        <references count="2">
          <reference field="4294967294" count="1" selected="0">
            <x v="0"/>
          </reference>
          <reference field="2" count="1" selected="0">
            <x v="4"/>
          </reference>
        </references>
      </pivotArea>
    </chartFormat>
    <chartFormat chart="2" format="218">
      <pivotArea type="data" outline="0" fieldPosition="0">
        <references count="2">
          <reference field="4294967294" count="1" selected="0">
            <x v="0"/>
          </reference>
          <reference field="2" count="1" selected="0">
            <x v="5"/>
          </reference>
        </references>
      </pivotArea>
    </chartFormat>
    <chartFormat chart="2" format="219">
      <pivotArea type="data" outline="0" fieldPosition="0">
        <references count="2">
          <reference field="4294967294" count="1" selected="0">
            <x v="0"/>
          </reference>
          <reference field="2" count="1" selected="0">
            <x v="6"/>
          </reference>
        </references>
      </pivotArea>
    </chartFormat>
    <chartFormat chart="2" format="220">
      <pivotArea type="data" outline="0" fieldPosition="0">
        <references count="2">
          <reference field="4294967294" count="1" selected="0">
            <x v="0"/>
          </reference>
          <reference field="2" count="1" selected="0">
            <x v="7"/>
          </reference>
        </references>
      </pivotArea>
    </chartFormat>
    <chartFormat chart="2" format="221">
      <pivotArea type="data" outline="0" fieldPosition="0">
        <references count="2">
          <reference field="4294967294" count="1" selected="0">
            <x v="0"/>
          </reference>
          <reference field="2" count="1" selected="0">
            <x v="8"/>
          </reference>
        </references>
      </pivotArea>
    </chartFormat>
    <chartFormat chart="2" format="222">
      <pivotArea type="data" outline="0" fieldPosition="0">
        <references count="2">
          <reference field="4294967294" count="1" selected="0">
            <x v="0"/>
          </reference>
          <reference field="2" count="1" selected="0">
            <x v="9"/>
          </reference>
        </references>
      </pivotArea>
    </chartFormat>
    <chartFormat chart="2" format="223">
      <pivotArea type="data" outline="0" fieldPosition="0">
        <references count="2">
          <reference field="4294967294" count="1" selected="0">
            <x v="0"/>
          </reference>
          <reference field="2" count="1" selected="0">
            <x v="10"/>
          </reference>
        </references>
      </pivotArea>
    </chartFormat>
    <chartFormat chart="2" format="224">
      <pivotArea type="data" outline="0" fieldPosition="0">
        <references count="2">
          <reference field="4294967294" count="1" selected="0">
            <x v="0"/>
          </reference>
          <reference field="2" count="1" selected="0">
            <x v="11"/>
          </reference>
        </references>
      </pivotArea>
    </chartFormat>
    <chartFormat chart="2" format="225">
      <pivotArea type="data" outline="0" fieldPosition="0">
        <references count="2">
          <reference field="4294967294" count="1" selected="0">
            <x v="0"/>
          </reference>
          <reference field="2" count="1" selected="0">
            <x v="12"/>
          </reference>
        </references>
      </pivotArea>
    </chartFormat>
    <chartFormat chart="2" format="226">
      <pivotArea type="data" outline="0" fieldPosition="0">
        <references count="2">
          <reference field="4294967294" count="1" selected="0">
            <x v="0"/>
          </reference>
          <reference field="2" count="1" selected="0">
            <x v="13"/>
          </reference>
        </references>
      </pivotArea>
    </chartFormat>
    <chartFormat chart="2" format="227">
      <pivotArea type="data" outline="0" fieldPosition="0">
        <references count="2">
          <reference field="4294967294" count="1" selected="0">
            <x v="0"/>
          </reference>
          <reference field="2" count="1" selected="0">
            <x v="14"/>
          </reference>
        </references>
      </pivotArea>
    </chartFormat>
    <chartFormat chart="2" format="228">
      <pivotArea type="data" outline="0" fieldPosition="0">
        <references count="2">
          <reference field="4294967294" count="1" selected="0">
            <x v="0"/>
          </reference>
          <reference field="2" count="1" selected="0">
            <x v="15"/>
          </reference>
        </references>
      </pivotArea>
    </chartFormat>
    <chartFormat chart="2" format="229">
      <pivotArea type="data" outline="0" fieldPosition="0">
        <references count="2">
          <reference field="4294967294" count="1" selected="0">
            <x v="0"/>
          </reference>
          <reference field="2" count="1" selected="0">
            <x v="16"/>
          </reference>
        </references>
      </pivotArea>
    </chartFormat>
    <chartFormat chart="2" format="230">
      <pivotArea type="data" outline="0" fieldPosition="0">
        <references count="2">
          <reference field="4294967294" count="1" selected="0">
            <x v="0"/>
          </reference>
          <reference field="2" count="1" selected="0">
            <x v="17"/>
          </reference>
        </references>
      </pivotArea>
    </chartFormat>
    <chartFormat chart="2" format="231">
      <pivotArea type="data" outline="0" fieldPosition="0">
        <references count="2">
          <reference field="4294967294" count="1" selected="0">
            <x v="0"/>
          </reference>
          <reference field="2" count="1" selected="0">
            <x v="18"/>
          </reference>
        </references>
      </pivotArea>
    </chartFormat>
    <chartFormat chart="2" format="232">
      <pivotArea type="data" outline="0" fieldPosition="0">
        <references count="2">
          <reference field="4294967294" count="1" selected="0">
            <x v="0"/>
          </reference>
          <reference field="2" count="1" selected="0">
            <x v="19"/>
          </reference>
        </references>
      </pivotArea>
    </chartFormat>
    <chartFormat chart="2" format="233">
      <pivotArea type="data" outline="0" fieldPosition="0">
        <references count="2">
          <reference field="4294967294" count="1" selected="0">
            <x v="0"/>
          </reference>
          <reference field="2" count="1" selected="0">
            <x v="20"/>
          </reference>
        </references>
      </pivotArea>
    </chartFormat>
    <chartFormat chart="2" format="234">
      <pivotArea type="data" outline="0" fieldPosition="0">
        <references count="2">
          <reference field="4294967294" count="1" selected="0">
            <x v="0"/>
          </reference>
          <reference field="2" count="1" selected="0">
            <x v="21"/>
          </reference>
        </references>
      </pivotArea>
    </chartFormat>
    <chartFormat chart="2" format="235">
      <pivotArea type="data" outline="0" fieldPosition="0">
        <references count="2">
          <reference field="4294967294" count="1" selected="0">
            <x v="0"/>
          </reference>
          <reference field="2" count="1" selected="0">
            <x v="22"/>
          </reference>
        </references>
      </pivotArea>
    </chartFormat>
    <chartFormat chart="2" format="236">
      <pivotArea type="data" outline="0" fieldPosition="0">
        <references count="2">
          <reference field="4294967294" count="1" selected="0">
            <x v="0"/>
          </reference>
          <reference field="2" count="1" selected="0">
            <x v="23"/>
          </reference>
        </references>
      </pivotArea>
    </chartFormat>
    <chartFormat chart="2" format="237">
      <pivotArea type="data" outline="0" fieldPosition="0">
        <references count="2">
          <reference field="4294967294" count="1" selected="0">
            <x v="0"/>
          </reference>
          <reference field="2" count="1" selected="0">
            <x v="24"/>
          </reference>
        </references>
      </pivotArea>
    </chartFormat>
    <chartFormat chart="2" format="238">
      <pivotArea type="data" outline="0" fieldPosition="0">
        <references count="2">
          <reference field="4294967294" count="1" selected="0">
            <x v="0"/>
          </reference>
          <reference field="2" count="1" selected="0">
            <x v="25"/>
          </reference>
        </references>
      </pivotArea>
    </chartFormat>
    <chartFormat chart="2" format="239">
      <pivotArea type="data" outline="0" fieldPosition="0">
        <references count="2">
          <reference field="4294967294" count="1" selected="0">
            <x v="0"/>
          </reference>
          <reference field="2" count="1" selected="0">
            <x v="26"/>
          </reference>
        </references>
      </pivotArea>
    </chartFormat>
    <chartFormat chart="2" format="240">
      <pivotArea type="data" outline="0" fieldPosition="0">
        <references count="2">
          <reference field="4294967294" count="1" selected="0">
            <x v="0"/>
          </reference>
          <reference field="2" count="1" selected="0">
            <x v="27"/>
          </reference>
        </references>
      </pivotArea>
    </chartFormat>
    <chartFormat chart="2" format="241">
      <pivotArea type="data" outline="0" fieldPosition="0">
        <references count="2">
          <reference field="4294967294" count="1" selected="0">
            <x v="0"/>
          </reference>
          <reference field="2" count="1" selected="0">
            <x v="28"/>
          </reference>
        </references>
      </pivotArea>
    </chartFormat>
    <chartFormat chart="2" format="242">
      <pivotArea type="data" outline="0" fieldPosition="0">
        <references count="2">
          <reference field="4294967294" count="1" selected="0">
            <x v="0"/>
          </reference>
          <reference field="2" count="1" selected="0">
            <x v="29"/>
          </reference>
        </references>
      </pivotArea>
    </chartFormat>
    <chartFormat chart="2" format="243">
      <pivotArea type="data" outline="0" fieldPosition="0">
        <references count="2">
          <reference field="4294967294" count="1" selected="0">
            <x v="0"/>
          </reference>
          <reference field="2" count="1" selected="0">
            <x v="30"/>
          </reference>
        </references>
      </pivotArea>
    </chartFormat>
    <chartFormat chart="2" format="244">
      <pivotArea type="data" outline="0" fieldPosition="0">
        <references count="2">
          <reference field="4294967294" count="1" selected="0">
            <x v="0"/>
          </reference>
          <reference field="2" count="1" selected="0">
            <x v="31"/>
          </reference>
        </references>
      </pivotArea>
    </chartFormat>
    <chartFormat chart="2" format="245">
      <pivotArea type="data" outline="0" fieldPosition="0">
        <references count="2">
          <reference field="4294967294" count="1" selected="0">
            <x v="0"/>
          </reference>
          <reference field="2" count="1" selected="0">
            <x v="32"/>
          </reference>
        </references>
      </pivotArea>
    </chartFormat>
    <chartFormat chart="2" format="246">
      <pivotArea type="data" outline="0" fieldPosition="0">
        <references count="2">
          <reference field="4294967294" count="1" selected="0">
            <x v="0"/>
          </reference>
          <reference field="2" count="1" selected="0">
            <x v="33"/>
          </reference>
        </references>
      </pivotArea>
    </chartFormat>
    <chartFormat chart="2" format="247">
      <pivotArea type="data" outline="0" fieldPosition="0">
        <references count="2">
          <reference field="4294967294" count="1" selected="0">
            <x v="0"/>
          </reference>
          <reference field="2" count="1" selected="0">
            <x v="34"/>
          </reference>
        </references>
      </pivotArea>
    </chartFormat>
    <chartFormat chart="2" format="248">
      <pivotArea type="data" outline="0" fieldPosition="0">
        <references count="2">
          <reference field="4294967294" count="1" selected="0">
            <x v="0"/>
          </reference>
          <reference field="2" count="1" selected="0">
            <x v="35"/>
          </reference>
        </references>
      </pivotArea>
    </chartFormat>
    <chartFormat chart="2" format="249">
      <pivotArea type="data" outline="0" fieldPosition="0">
        <references count="2">
          <reference field="4294967294" count="1" selected="0">
            <x v="0"/>
          </reference>
          <reference field="2" count="1" selected="0">
            <x v="36"/>
          </reference>
        </references>
      </pivotArea>
    </chartFormat>
    <chartFormat chart="2" format="250">
      <pivotArea type="data" outline="0" fieldPosition="0">
        <references count="2">
          <reference field="4294967294" count="1" selected="0">
            <x v="0"/>
          </reference>
          <reference field="2" count="1" selected="0">
            <x v="37"/>
          </reference>
        </references>
      </pivotArea>
    </chartFormat>
    <chartFormat chart="2" format="251">
      <pivotArea type="data" outline="0" fieldPosition="0">
        <references count="2">
          <reference field="4294967294" count="1" selected="0">
            <x v="0"/>
          </reference>
          <reference field="2" count="1" selected="0">
            <x v="38"/>
          </reference>
        </references>
      </pivotArea>
    </chartFormat>
    <chartFormat chart="2" format="252">
      <pivotArea type="data" outline="0" fieldPosition="0">
        <references count="2">
          <reference field="4294967294" count="1" selected="0">
            <x v="0"/>
          </reference>
          <reference field="2" count="1" selected="0">
            <x v="39"/>
          </reference>
        </references>
      </pivotArea>
    </chartFormat>
    <chartFormat chart="2" format="253">
      <pivotArea type="data" outline="0" fieldPosition="0">
        <references count="2">
          <reference field="4294967294" count="1" selected="0">
            <x v="0"/>
          </reference>
          <reference field="2" count="1" selected="0">
            <x v="40"/>
          </reference>
        </references>
      </pivotArea>
    </chartFormat>
    <chartFormat chart="2" format="254">
      <pivotArea type="data" outline="0" fieldPosition="0">
        <references count="2">
          <reference field="4294967294" count="1" selected="0">
            <x v="0"/>
          </reference>
          <reference field="2" count="1" selected="0">
            <x v="41"/>
          </reference>
        </references>
      </pivotArea>
    </chartFormat>
    <chartFormat chart="2" format="255">
      <pivotArea type="data" outline="0" fieldPosition="0">
        <references count="2">
          <reference field="4294967294" count="1" selected="0">
            <x v="0"/>
          </reference>
          <reference field="2" count="1" selected="0">
            <x v="42"/>
          </reference>
        </references>
      </pivotArea>
    </chartFormat>
    <chartFormat chart="2" format="256">
      <pivotArea type="data" outline="0" fieldPosition="0">
        <references count="2">
          <reference field="4294967294" count="1" selected="0">
            <x v="0"/>
          </reference>
          <reference field="2" count="1" selected="0">
            <x v="43"/>
          </reference>
        </references>
      </pivotArea>
    </chartFormat>
    <chartFormat chart="2" format="257">
      <pivotArea type="data" outline="0" fieldPosition="0">
        <references count="2">
          <reference field="4294967294" count="1" selected="0">
            <x v="0"/>
          </reference>
          <reference field="2" count="1" selected="0">
            <x v="44"/>
          </reference>
        </references>
      </pivotArea>
    </chartFormat>
    <chartFormat chart="2" format="258">
      <pivotArea type="data" outline="0" fieldPosition="0">
        <references count="2">
          <reference field="4294967294" count="1" selected="0">
            <x v="0"/>
          </reference>
          <reference field="2" count="1" selected="0">
            <x v="45"/>
          </reference>
        </references>
      </pivotArea>
    </chartFormat>
    <chartFormat chart="2" format="259">
      <pivotArea type="data" outline="0" fieldPosition="0">
        <references count="2">
          <reference field="4294967294" count="1" selected="0">
            <x v="0"/>
          </reference>
          <reference field="2" count="1" selected="0">
            <x v="46"/>
          </reference>
        </references>
      </pivotArea>
    </chartFormat>
    <chartFormat chart="2" format="260">
      <pivotArea type="data" outline="0" fieldPosition="0">
        <references count="2">
          <reference field="4294967294" count="1" selected="0">
            <x v="0"/>
          </reference>
          <reference field="2" count="1" selected="0">
            <x v="47"/>
          </reference>
        </references>
      </pivotArea>
    </chartFormat>
    <chartFormat chart="2" format="261">
      <pivotArea type="data" outline="0" fieldPosition="0">
        <references count="2">
          <reference field="4294967294" count="1" selected="0">
            <x v="0"/>
          </reference>
          <reference field="2" count="1" selected="0">
            <x v="48"/>
          </reference>
        </references>
      </pivotArea>
    </chartFormat>
    <chartFormat chart="2" format="262">
      <pivotArea type="data" outline="0" fieldPosition="0">
        <references count="2">
          <reference field="4294967294" count="1" selected="0">
            <x v="0"/>
          </reference>
          <reference field="2" count="1" selected="0">
            <x v="49"/>
          </reference>
        </references>
      </pivotArea>
    </chartFormat>
    <chartFormat chart="2" format="263">
      <pivotArea type="data" outline="0" fieldPosition="0">
        <references count="2">
          <reference field="4294967294" count="1" selected="0">
            <x v="0"/>
          </reference>
          <reference field="2" count="1" selected="0">
            <x v="50"/>
          </reference>
        </references>
      </pivotArea>
    </chartFormat>
    <chartFormat chart="2" format="264" series="1">
      <pivotArea type="data" outline="0" fieldPosition="0">
        <references count="1">
          <reference field="4294967294" count="1" selected="0">
            <x v="1"/>
          </reference>
        </references>
      </pivotArea>
    </chartFormat>
    <chartFormat chart="2" format="265">
      <pivotArea type="data" outline="0" fieldPosition="0">
        <references count="2">
          <reference field="4294967294" count="1" selected="0">
            <x v="1"/>
          </reference>
          <reference field="2" count="1" selected="0">
            <x v="0"/>
          </reference>
        </references>
      </pivotArea>
    </chartFormat>
    <chartFormat chart="2" format="266">
      <pivotArea type="data" outline="0" fieldPosition="0">
        <references count="2">
          <reference field="4294967294" count="1" selected="0">
            <x v="1"/>
          </reference>
          <reference field="2" count="1" selected="0">
            <x v="1"/>
          </reference>
        </references>
      </pivotArea>
    </chartFormat>
    <chartFormat chart="2" format="267">
      <pivotArea type="data" outline="0" fieldPosition="0">
        <references count="2">
          <reference field="4294967294" count="1" selected="0">
            <x v="1"/>
          </reference>
          <reference field="2" count="1" selected="0">
            <x v="2"/>
          </reference>
        </references>
      </pivotArea>
    </chartFormat>
    <chartFormat chart="2" format="268">
      <pivotArea type="data" outline="0" fieldPosition="0">
        <references count="2">
          <reference field="4294967294" count="1" selected="0">
            <x v="1"/>
          </reference>
          <reference field="2" count="1" selected="0">
            <x v="3"/>
          </reference>
        </references>
      </pivotArea>
    </chartFormat>
    <chartFormat chart="2" format="269">
      <pivotArea type="data" outline="0" fieldPosition="0">
        <references count="2">
          <reference field="4294967294" count="1" selected="0">
            <x v="1"/>
          </reference>
          <reference field="2" count="1" selected="0">
            <x v="4"/>
          </reference>
        </references>
      </pivotArea>
    </chartFormat>
    <chartFormat chart="2" format="270">
      <pivotArea type="data" outline="0" fieldPosition="0">
        <references count="2">
          <reference field="4294967294" count="1" selected="0">
            <x v="1"/>
          </reference>
          <reference field="2" count="1" selected="0">
            <x v="5"/>
          </reference>
        </references>
      </pivotArea>
    </chartFormat>
    <chartFormat chart="2" format="271">
      <pivotArea type="data" outline="0" fieldPosition="0">
        <references count="2">
          <reference field="4294967294" count="1" selected="0">
            <x v="1"/>
          </reference>
          <reference field="2" count="1" selected="0">
            <x v="6"/>
          </reference>
        </references>
      </pivotArea>
    </chartFormat>
    <chartFormat chart="2" format="272">
      <pivotArea type="data" outline="0" fieldPosition="0">
        <references count="2">
          <reference field="4294967294" count="1" selected="0">
            <x v="1"/>
          </reference>
          <reference field="2" count="1" selected="0">
            <x v="7"/>
          </reference>
        </references>
      </pivotArea>
    </chartFormat>
    <chartFormat chart="2" format="273">
      <pivotArea type="data" outline="0" fieldPosition="0">
        <references count="2">
          <reference field="4294967294" count="1" selected="0">
            <x v="1"/>
          </reference>
          <reference field="2" count="1" selected="0">
            <x v="8"/>
          </reference>
        </references>
      </pivotArea>
    </chartFormat>
    <chartFormat chart="2" format="274">
      <pivotArea type="data" outline="0" fieldPosition="0">
        <references count="2">
          <reference field="4294967294" count="1" selected="0">
            <x v="1"/>
          </reference>
          <reference field="2" count="1" selected="0">
            <x v="9"/>
          </reference>
        </references>
      </pivotArea>
    </chartFormat>
    <chartFormat chart="2" format="275">
      <pivotArea type="data" outline="0" fieldPosition="0">
        <references count="2">
          <reference field="4294967294" count="1" selected="0">
            <x v="1"/>
          </reference>
          <reference field="2" count="1" selected="0">
            <x v="10"/>
          </reference>
        </references>
      </pivotArea>
    </chartFormat>
    <chartFormat chart="2" format="276">
      <pivotArea type="data" outline="0" fieldPosition="0">
        <references count="2">
          <reference field="4294967294" count="1" selected="0">
            <x v="1"/>
          </reference>
          <reference field="2" count="1" selected="0">
            <x v="11"/>
          </reference>
        </references>
      </pivotArea>
    </chartFormat>
    <chartFormat chart="2" format="277">
      <pivotArea type="data" outline="0" fieldPosition="0">
        <references count="2">
          <reference field="4294967294" count="1" selected="0">
            <x v="1"/>
          </reference>
          <reference field="2" count="1" selected="0">
            <x v="12"/>
          </reference>
        </references>
      </pivotArea>
    </chartFormat>
    <chartFormat chart="2" format="278">
      <pivotArea type="data" outline="0" fieldPosition="0">
        <references count="2">
          <reference field="4294967294" count="1" selected="0">
            <x v="1"/>
          </reference>
          <reference field="2" count="1" selected="0">
            <x v="13"/>
          </reference>
        </references>
      </pivotArea>
    </chartFormat>
    <chartFormat chart="2" format="279">
      <pivotArea type="data" outline="0" fieldPosition="0">
        <references count="2">
          <reference field="4294967294" count="1" selected="0">
            <x v="1"/>
          </reference>
          <reference field="2" count="1" selected="0">
            <x v="14"/>
          </reference>
        </references>
      </pivotArea>
    </chartFormat>
    <chartFormat chart="2" format="280">
      <pivotArea type="data" outline="0" fieldPosition="0">
        <references count="2">
          <reference field="4294967294" count="1" selected="0">
            <x v="1"/>
          </reference>
          <reference field="2" count="1" selected="0">
            <x v="15"/>
          </reference>
        </references>
      </pivotArea>
    </chartFormat>
    <chartFormat chart="2" format="281">
      <pivotArea type="data" outline="0" fieldPosition="0">
        <references count="2">
          <reference field="4294967294" count="1" selected="0">
            <x v="1"/>
          </reference>
          <reference field="2" count="1" selected="0">
            <x v="16"/>
          </reference>
        </references>
      </pivotArea>
    </chartFormat>
    <chartFormat chart="2" format="282">
      <pivotArea type="data" outline="0" fieldPosition="0">
        <references count="2">
          <reference field="4294967294" count="1" selected="0">
            <x v="1"/>
          </reference>
          <reference field="2" count="1" selected="0">
            <x v="17"/>
          </reference>
        </references>
      </pivotArea>
    </chartFormat>
    <chartFormat chart="2" format="283">
      <pivotArea type="data" outline="0" fieldPosition="0">
        <references count="2">
          <reference field="4294967294" count="1" selected="0">
            <x v="1"/>
          </reference>
          <reference field="2" count="1" selected="0">
            <x v="18"/>
          </reference>
        </references>
      </pivotArea>
    </chartFormat>
    <chartFormat chart="2" format="284">
      <pivotArea type="data" outline="0" fieldPosition="0">
        <references count="2">
          <reference field="4294967294" count="1" selected="0">
            <x v="1"/>
          </reference>
          <reference field="2" count="1" selected="0">
            <x v="19"/>
          </reference>
        </references>
      </pivotArea>
    </chartFormat>
    <chartFormat chart="2" format="285">
      <pivotArea type="data" outline="0" fieldPosition="0">
        <references count="2">
          <reference field="4294967294" count="1" selected="0">
            <x v="1"/>
          </reference>
          <reference field="2" count="1" selected="0">
            <x v="20"/>
          </reference>
        </references>
      </pivotArea>
    </chartFormat>
    <chartFormat chart="2" format="286">
      <pivotArea type="data" outline="0" fieldPosition="0">
        <references count="2">
          <reference field="4294967294" count="1" selected="0">
            <x v="1"/>
          </reference>
          <reference field="2" count="1" selected="0">
            <x v="21"/>
          </reference>
        </references>
      </pivotArea>
    </chartFormat>
    <chartFormat chart="2" format="287">
      <pivotArea type="data" outline="0" fieldPosition="0">
        <references count="2">
          <reference field="4294967294" count="1" selected="0">
            <x v="1"/>
          </reference>
          <reference field="2" count="1" selected="0">
            <x v="22"/>
          </reference>
        </references>
      </pivotArea>
    </chartFormat>
    <chartFormat chart="2" format="288">
      <pivotArea type="data" outline="0" fieldPosition="0">
        <references count="2">
          <reference field="4294967294" count="1" selected="0">
            <x v="1"/>
          </reference>
          <reference field="2" count="1" selected="0">
            <x v="23"/>
          </reference>
        </references>
      </pivotArea>
    </chartFormat>
    <chartFormat chart="2" format="289">
      <pivotArea type="data" outline="0" fieldPosition="0">
        <references count="2">
          <reference field="4294967294" count="1" selected="0">
            <x v="1"/>
          </reference>
          <reference field="2" count="1" selected="0">
            <x v="24"/>
          </reference>
        </references>
      </pivotArea>
    </chartFormat>
    <chartFormat chart="2" format="290">
      <pivotArea type="data" outline="0" fieldPosition="0">
        <references count="2">
          <reference field="4294967294" count="1" selected="0">
            <x v="1"/>
          </reference>
          <reference field="2" count="1" selected="0">
            <x v="25"/>
          </reference>
        </references>
      </pivotArea>
    </chartFormat>
    <chartFormat chart="2" format="291">
      <pivotArea type="data" outline="0" fieldPosition="0">
        <references count="2">
          <reference field="4294967294" count="1" selected="0">
            <x v="1"/>
          </reference>
          <reference field="2" count="1" selected="0">
            <x v="26"/>
          </reference>
        </references>
      </pivotArea>
    </chartFormat>
    <chartFormat chart="2" format="292">
      <pivotArea type="data" outline="0" fieldPosition="0">
        <references count="2">
          <reference field="4294967294" count="1" selected="0">
            <x v="1"/>
          </reference>
          <reference field="2" count="1" selected="0">
            <x v="27"/>
          </reference>
        </references>
      </pivotArea>
    </chartFormat>
    <chartFormat chart="2" format="293">
      <pivotArea type="data" outline="0" fieldPosition="0">
        <references count="2">
          <reference field="4294967294" count="1" selected="0">
            <x v="1"/>
          </reference>
          <reference field="2" count="1" selected="0">
            <x v="28"/>
          </reference>
        </references>
      </pivotArea>
    </chartFormat>
    <chartFormat chart="2" format="294">
      <pivotArea type="data" outline="0" fieldPosition="0">
        <references count="2">
          <reference field="4294967294" count="1" selected="0">
            <x v="1"/>
          </reference>
          <reference field="2" count="1" selected="0">
            <x v="29"/>
          </reference>
        </references>
      </pivotArea>
    </chartFormat>
    <chartFormat chart="2" format="295">
      <pivotArea type="data" outline="0" fieldPosition="0">
        <references count="2">
          <reference field="4294967294" count="1" selected="0">
            <x v="1"/>
          </reference>
          <reference field="2" count="1" selected="0">
            <x v="30"/>
          </reference>
        </references>
      </pivotArea>
    </chartFormat>
    <chartFormat chart="2" format="296">
      <pivotArea type="data" outline="0" fieldPosition="0">
        <references count="2">
          <reference field="4294967294" count="1" selected="0">
            <x v="1"/>
          </reference>
          <reference field="2" count="1" selected="0">
            <x v="31"/>
          </reference>
        </references>
      </pivotArea>
    </chartFormat>
    <chartFormat chart="2" format="297">
      <pivotArea type="data" outline="0" fieldPosition="0">
        <references count="2">
          <reference field="4294967294" count="1" selected="0">
            <x v="1"/>
          </reference>
          <reference field="2" count="1" selected="0">
            <x v="32"/>
          </reference>
        </references>
      </pivotArea>
    </chartFormat>
    <chartFormat chart="2" format="298">
      <pivotArea type="data" outline="0" fieldPosition="0">
        <references count="2">
          <reference field="4294967294" count="1" selected="0">
            <x v="1"/>
          </reference>
          <reference field="2" count="1" selected="0">
            <x v="33"/>
          </reference>
        </references>
      </pivotArea>
    </chartFormat>
    <chartFormat chart="2" format="299">
      <pivotArea type="data" outline="0" fieldPosition="0">
        <references count="2">
          <reference field="4294967294" count="1" selected="0">
            <x v="1"/>
          </reference>
          <reference field="2" count="1" selected="0">
            <x v="34"/>
          </reference>
        </references>
      </pivotArea>
    </chartFormat>
    <chartFormat chart="2" format="300">
      <pivotArea type="data" outline="0" fieldPosition="0">
        <references count="2">
          <reference field="4294967294" count="1" selected="0">
            <x v="1"/>
          </reference>
          <reference field="2" count="1" selected="0">
            <x v="35"/>
          </reference>
        </references>
      </pivotArea>
    </chartFormat>
    <chartFormat chart="2" format="301">
      <pivotArea type="data" outline="0" fieldPosition="0">
        <references count="2">
          <reference field="4294967294" count="1" selected="0">
            <x v="1"/>
          </reference>
          <reference field="2" count="1" selected="0">
            <x v="36"/>
          </reference>
        </references>
      </pivotArea>
    </chartFormat>
    <chartFormat chart="2" format="302">
      <pivotArea type="data" outline="0" fieldPosition="0">
        <references count="2">
          <reference field="4294967294" count="1" selected="0">
            <x v="1"/>
          </reference>
          <reference field="2" count="1" selected="0">
            <x v="37"/>
          </reference>
        </references>
      </pivotArea>
    </chartFormat>
    <chartFormat chart="2" format="303">
      <pivotArea type="data" outline="0" fieldPosition="0">
        <references count="2">
          <reference field="4294967294" count="1" selected="0">
            <x v="1"/>
          </reference>
          <reference field="2" count="1" selected="0">
            <x v="38"/>
          </reference>
        </references>
      </pivotArea>
    </chartFormat>
    <chartFormat chart="2" format="304">
      <pivotArea type="data" outline="0" fieldPosition="0">
        <references count="2">
          <reference field="4294967294" count="1" selected="0">
            <x v="1"/>
          </reference>
          <reference field="2" count="1" selected="0">
            <x v="39"/>
          </reference>
        </references>
      </pivotArea>
    </chartFormat>
    <chartFormat chart="2" format="305">
      <pivotArea type="data" outline="0" fieldPosition="0">
        <references count="2">
          <reference field="4294967294" count="1" selected="0">
            <x v="1"/>
          </reference>
          <reference field="2" count="1" selected="0">
            <x v="40"/>
          </reference>
        </references>
      </pivotArea>
    </chartFormat>
    <chartFormat chart="2" format="306">
      <pivotArea type="data" outline="0" fieldPosition="0">
        <references count="2">
          <reference field="4294967294" count="1" selected="0">
            <x v="1"/>
          </reference>
          <reference field="2" count="1" selected="0">
            <x v="41"/>
          </reference>
        </references>
      </pivotArea>
    </chartFormat>
    <chartFormat chart="2" format="307">
      <pivotArea type="data" outline="0" fieldPosition="0">
        <references count="2">
          <reference field="4294967294" count="1" selected="0">
            <x v="1"/>
          </reference>
          <reference field="2" count="1" selected="0">
            <x v="42"/>
          </reference>
        </references>
      </pivotArea>
    </chartFormat>
    <chartFormat chart="2" format="308">
      <pivotArea type="data" outline="0" fieldPosition="0">
        <references count="2">
          <reference field="4294967294" count="1" selected="0">
            <x v="1"/>
          </reference>
          <reference field="2" count="1" selected="0">
            <x v="43"/>
          </reference>
        </references>
      </pivotArea>
    </chartFormat>
    <chartFormat chart="2" format="309">
      <pivotArea type="data" outline="0" fieldPosition="0">
        <references count="2">
          <reference field="4294967294" count="1" selected="0">
            <x v="1"/>
          </reference>
          <reference field="2" count="1" selected="0">
            <x v="44"/>
          </reference>
        </references>
      </pivotArea>
    </chartFormat>
    <chartFormat chart="2" format="310">
      <pivotArea type="data" outline="0" fieldPosition="0">
        <references count="2">
          <reference field="4294967294" count="1" selected="0">
            <x v="1"/>
          </reference>
          <reference field="2" count="1" selected="0">
            <x v="45"/>
          </reference>
        </references>
      </pivotArea>
    </chartFormat>
    <chartFormat chart="2" format="311">
      <pivotArea type="data" outline="0" fieldPosition="0">
        <references count="2">
          <reference field="4294967294" count="1" selected="0">
            <x v="1"/>
          </reference>
          <reference field="2" count="1" selected="0">
            <x v="46"/>
          </reference>
        </references>
      </pivotArea>
    </chartFormat>
    <chartFormat chart="2" format="312">
      <pivotArea type="data" outline="0" fieldPosition="0">
        <references count="2">
          <reference field="4294967294" count="1" selected="0">
            <x v="1"/>
          </reference>
          <reference field="2" count="1" selected="0">
            <x v="47"/>
          </reference>
        </references>
      </pivotArea>
    </chartFormat>
    <chartFormat chart="2" format="313">
      <pivotArea type="data" outline="0" fieldPosition="0">
        <references count="2">
          <reference field="4294967294" count="1" selected="0">
            <x v="1"/>
          </reference>
          <reference field="2" count="1" selected="0">
            <x v="48"/>
          </reference>
        </references>
      </pivotArea>
    </chartFormat>
    <chartFormat chart="2" format="314">
      <pivotArea type="data" outline="0" fieldPosition="0">
        <references count="2">
          <reference field="4294967294" count="1" selected="0">
            <x v="1"/>
          </reference>
          <reference field="2" count="1" selected="0">
            <x v="49"/>
          </reference>
        </references>
      </pivotArea>
    </chartFormat>
    <chartFormat chart="2" format="315">
      <pivotArea type="data" outline="0" fieldPosition="0">
        <references count="2">
          <reference field="4294967294" count="1" selected="0">
            <x v="1"/>
          </reference>
          <reference field="2" count="1" selected="0">
            <x v="50"/>
          </reference>
        </references>
      </pivotArea>
    </chartFormat>
    <chartFormat chart="2" format="316" series="1">
      <pivotArea type="data" outline="0" fieldPosition="0">
        <references count="1">
          <reference field="4294967294" count="1" selected="0">
            <x v="2"/>
          </reference>
        </references>
      </pivotArea>
    </chartFormat>
    <chartFormat chart="2" format="317">
      <pivotArea type="data" outline="0" fieldPosition="0">
        <references count="2">
          <reference field="4294967294" count="1" selected="0">
            <x v="2"/>
          </reference>
          <reference field="2" count="1" selected="0">
            <x v="0"/>
          </reference>
        </references>
      </pivotArea>
    </chartFormat>
    <chartFormat chart="2" format="318">
      <pivotArea type="data" outline="0" fieldPosition="0">
        <references count="2">
          <reference field="4294967294" count="1" selected="0">
            <x v="2"/>
          </reference>
          <reference field="2" count="1" selected="0">
            <x v="1"/>
          </reference>
        </references>
      </pivotArea>
    </chartFormat>
    <chartFormat chart="2" format="319">
      <pivotArea type="data" outline="0" fieldPosition="0">
        <references count="2">
          <reference field="4294967294" count="1" selected="0">
            <x v="2"/>
          </reference>
          <reference field="2" count="1" selected="0">
            <x v="2"/>
          </reference>
        </references>
      </pivotArea>
    </chartFormat>
    <chartFormat chart="2" format="320">
      <pivotArea type="data" outline="0" fieldPosition="0">
        <references count="2">
          <reference field="4294967294" count="1" selected="0">
            <x v="2"/>
          </reference>
          <reference field="2" count="1" selected="0">
            <x v="3"/>
          </reference>
        </references>
      </pivotArea>
    </chartFormat>
    <chartFormat chart="2" format="321">
      <pivotArea type="data" outline="0" fieldPosition="0">
        <references count="2">
          <reference field="4294967294" count="1" selected="0">
            <x v="2"/>
          </reference>
          <reference field="2" count="1" selected="0">
            <x v="4"/>
          </reference>
        </references>
      </pivotArea>
    </chartFormat>
    <chartFormat chart="2" format="322">
      <pivotArea type="data" outline="0" fieldPosition="0">
        <references count="2">
          <reference field="4294967294" count="1" selected="0">
            <x v="2"/>
          </reference>
          <reference field="2" count="1" selected="0">
            <x v="5"/>
          </reference>
        </references>
      </pivotArea>
    </chartFormat>
    <chartFormat chart="2" format="323">
      <pivotArea type="data" outline="0" fieldPosition="0">
        <references count="2">
          <reference field="4294967294" count="1" selected="0">
            <x v="2"/>
          </reference>
          <reference field="2" count="1" selected="0">
            <x v="6"/>
          </reference>
        </references>
      </pivotArea>
    </chartFormat>
    <chartFormat chart="2" format="324">
      <pivotArea type="data" outline="0" fieldPosition="0">
        <references count="2">
          <reference field="4294967294" count="1" selected="0">
            <x v="2"/>
          </reference>
          <reference field="2" count="1" selected="0">
            <x v="7"/>
          </reference>
        </references>
      </pivotArea>
    </chartFormat>
    <chartFormat chart="2" format="325">
      <pivotArea type="data" outline="0" fieldPosition="0">
        <references count="2">
          <reference field="4294967294" count="1" selected="0">
            <x v="2"/>
          </reference>
          <reference field="2" count="1" selected="0">
            <x v="8"/>
          </reference>
        </references>
      </pivotArea>
    </chartFormat>
    <chartFormat chart="2" format="326">
      <pivotArea type="data" outline="0" fieldPosition="0">
        <references count="2">
          <reference field="4294967294" count="1" selected="0">
            <x v="2"/>
          </reference>
          <reference field="2" count="1" selected="0">
            <x v="9"/>
          </reference>
        </references>
      </pivotArea>
    </chartFormat>
    <chartFormat chart="2" format="327">
      <pivotArea type="data" outline="0" fieldPosition="0">
        <references count="2">
          <reference field="4294967294" count="1" selected="0">
            <x v="2"/>
          </reference>
          <reference field="2" count="1" selected="0">
            <x v="10"/>
          </reference>
        </references>
      </pivotArea>
    </chartFormat>
    <chartFormat chart="2" format="328">
      <pivotArea type="data" outline="0" fieldPosition="0">
        <references count="2">
          <reference field="4294967294" count="1" selected="0">
            <x v="2"/>
          </reference>
          <reference field="2" count="1" selected="0">
            <x v="11"/>
          </reference>
        </references>
      </pivotArea>
    </chartFormat>
    <chartFormat chart="2" format="329">
      <pivotArea type="data" outline="0" fieldPosition="0">
        <references count="2">
          <reference field="4294967294" count="1" selected="0">
            <x v="2"/>
          </reference>
          <reference field="2" count="1" selected="0">
            <x v="12"/>
          </reference>
        </references>
      </pivotArea>
    </chartFormat>
    <chartFormat chart="2" format="330">
      <pivotArea type="data" outline="0" fieldPosition="0">
        <references count="2">
          <reference field="4294967294" count="1" selected="0">
            <x v="2"/>
          </reference>
          <reference field="2" count="1" selected="0">
            <x v="13"/>
          </reference>
        </references>
      </pivotArea>
    </chartFormat>
    <chartFormat chart="2" format="331">
      <pivotArea type="data" outline="0" fieldPosition="0">
        <references count="2">
          <reference field="4294967294" count="1" selected="0">
            <x v="2"/>
          </reference>
          <reference field="2" count="1" selected="0">
            <x v="14"/>
          </reference>
        </references>
      </pivotArea>
    </chartFormat>
    <chartFormat chart="2" format="332">
      <pivotArea type="data" outline="0" fieldPosition="0">
        <references count="2">
          <reference field="4294967294" count="1" selected="0">
            <x v="2"/>
          </reference>
          <reference field="2" count="1" selected="0">
            <x v="15"/>
          </reference>
        </references>
      </pivotArea>
    </chartFormat>
    <chartFormat chart="2" format="333">
      <pivotArea type="data" outline="0" fieldPosition="0">
        <references count="2">
          <reference field="4294967294" count="1" selected="0">
            <x v="2"/>
          </reference>
          <reference field="2" count="1" selected="0">
            <x v="16"/>
          </reference>
        </references>
      </pivotArea>
    </chartFormat>
    <chartFormat chart="2" format="334">
      <pivotArea type="data" outline="0" fieldPosition="0">
        <references count="2">
          <reference field="4294967294" count="1" selected="0">
            <x v="2"/>
          </reference>
          <reference field="2" count="1" selected="0">
            <x v="17"/>
          </reference>
        </references>
      </pivotArea>
    </chartFormat>
    <chartFormat chart="2" format="335">
      <pivotArea type="data" outline="0" fieldPosition="0">
        <references count="2">
          <reference field="4294967294" count="1" selected="0">
            <x v="2"/>
          </reference>
          <reference field="2" count="1" selected="0">
            <x v="18"/>
          </reference>
        </references>
      </pivotArea>
    </chartFormat>
    <chartFormat chart="2" format="336">
      <pivotArea type="data" outline="0" fieldPosition="0">
        <references count="2">
          <reference field="4294967294" count="1" selected="0">
            <x v="2"/>
          </reference>
          <reference field="2" count="1" selected="0">
            <x v="19"/>
          </reference>
        </references>
      </pivotArea>
    </chartFormat>
    <chartFormat chart="2" format="337">
      <pivotArea type="data" outline="0" fieldPosition="0">
        <references count="2">
          <reference field="4294967294" count="1" selected="0">
            <x v="2"/>
          </reference>
          <reference field="2" count="1" selected="0">
            <x v="20"/>
          </reference>
        </references>
      </pivotArea>
    </chartFormat>
    <chartFormat chart="2" format="338">
      <pivotArea type="data" outline="0" fieldPosition="0">
        <references count="2">
          <reference field="4294967294" count="1" selected="0">
            <x v="2"/>
          </reference>
          <reference field="2" count="1" selected="0">
            <x v="21"/>
          </reference>
        </references>
      </pivotArea>
    </chartFormat>
    <chartFormat chart="2" format="339">
      <pivotArea type="data" outline="0" fieldPosition="0">
        <references count="2">
          <reference field="4294967294" count="1" selected="0">
            <x v="2"/>
          </reference>
          <reference field="2" count="1" selected="0">
            <x v="22"/>
          </reference>
        </references>
      </pivotArea>
    </chartFormat>
    <chartFormat chart="2" format="340">
      <pivotArea type="data" outline="0" fieldPosition="0">
        <references count="2">
          <reference field="4294967294" count="1" selected="0">
            <x v="2"/>
          </reference>
          <reference field="2" count="1" selected="0">
            <x v="23"/>
          </reference>
        </references>
      </pivotArea>
    </chartFormat>
    <chartFormat chart="2" format="341">
      <pivotArea type="data" outline="0" fieldPosition="0">
        <references count="2">
          <reference field="4294967294" count="1" selected="0">
            <x v="2"/>
          </reference>
          <reference field="2" count="1" selected="0">
            <x v="24"/>
          </reference>
        </references>
      </pivotArea>
    </chartFormat>
    <chartFormat chart="2" format="342">
      <pivotArea type="data" outline="0" fieldPosition="0">
        <references count="2">
          <reference field="4294967294" count="1" selected="0">
            <x v="2"/>
          </reference>
          <reference field="2" count="1" selected="0">
            <x v="25"/>
          </reference>
        </references>
      </pivotArea>
    </chartFormat>
    <chartFormat chart="2" format="343">
      <pivotArea type="data" outline="0" fieldPosition="0">
        <references count="2">
          <reference field="4294967294" count="1" selected="0">
            <x v="2"/>
          </reference>
          <reference field="2" count="1" selected="0">
            <x v="26"/>
          </reference>
        </references>
      </pivotArea>
    </chartFormat>
    <chartFormat chart="2" format="344">
      <pivotArea type="data" outline="0" fieldPosition="0">
        <references count="2">
          <reference field="4294967294" count="1" selected="0">
            <x v="2"/>
          </reference>
          <reference field="2" count="1" selected="0">
            <x v="27"/>
          </reference>
        </references>
      </pivotArea>
    </chartFormat>
    <chartFormat chart="2" format="345">
      <pivotArea type="data" outline="0" fieldPosition="0">
        <references count="2">
          <reference field="4294967294" count="1" selected="0">
            <x v="2"/>
          </reference>
          <reference field="2" count="1" selected="0">
            <x v="28"/>
          </reference>
        </references>
      </pivotArea>
    </chartFormat>
    <chartFormat chart="2" format="346">
      <pivotArea type="data" outline="0" fieldPosition="0">
        <references count="2">
          <reference field="4294967294" count="1" selected="0">
            <x v="2"/>
          </reference>
          <reference field="2" count="1" selected="0">
            <x v="29"/>
          </reference>
        </references>
      </pivotArea>
    </chartFormat>
    <chartFormat chart="2" format="347">
      <pivotArea type="data" outline="0" fieldPosition="0">
        <references count="2">
          <reference field="4294967294" count="1" selected="0">
            <x v="2"/>
          </reference>
          <reference field="2" count="1" selected="0">
            <x v="30"/>
          </reference>
        </references>
      </pivotArea>
    </chartFormat>
    <chartFormat chart="2" format="348">
      <pivotArea type="data" outline="0" fieldPosition="0">
        <references count="2">
          <reference field="4294967294" count="1" selected="0">
            <x v="2"/>
          </reference>
          <reference field="2" count="1" selected="0">
            <x v="31"/>
          </reference>
        </references>
      </pivotArea>
    </chartFormat>
    <chartFormat chart="2" format="349">
      <pivotArea type="data" outline="0" fieldPosition="0">
        <references count="2">
          <reference field="4294967294" count="1" selected="0">
            <x v="2"/>
          </reference>
          <reference field="2" count="1" selected="0">
            <x v="32"/>
          </reference>
        </references>
      </pivotArea>
    </chartFormat>
    <chartFormat chart="2" format="350">
      <pivotArea type="data" outline="0" fieldPosition="0">
        <references count="2">
          <reference field="4294967294" count="1" selected="0">
            <x v="2"/>
          </reference>
          <reference field="2" count="1" selected="0">
            <x v="33"/>
          </reference>
        </references>
      </pivotArea>
    </chartFormat>
    <chartFormat chart="2" format="351">
      <pivotArea type="data" outline="0" fieldPosition="0">
        <references count="2">
          <reference field="4294967294" count="1" selected="0">
            <x v="2"/>
          </reference>
          <reference field="2" count="1" selected="0">
            <x v="34"/>
          </reference>
        </references>
      </pivotArea>
    </chartFormat>
    <chartFormat chart="2" format="352">
      <pivotArea type="data" outline="0" fieldPosition="0">
        <references count="2">
          <reference field="4294967294" count="1" selected="0">
            <x v="2"/>
          </reference>
          <reference field="2" count="1" selected="0">
            <x v="35"/>
          </reference>
        </references>
      </pivotArea>
    </chartFormat>
    <chartFormat chart="2" format="353">
      <pivotArea type="data" outline="0" fieldPosition="0">
        <references count="2">
          <reference field="4294967294" count="1" selected="0">
            <x v="2"/>
          </reference>
          <reference field="2" count="1" selected="0">
            <x v="36"/>
          </reference>
        </references>
      </pivotArea>
    </chartFormat>
    <chartFormat chart="2" format="354">
      <pivotArea type="data" outline="0" fieldPosition="0">
        <references count="2">
          <reference field="4294967294" count="1" selected="0">
            <x v="2"/>
          </reference>
          <reference field="2" count="1" selected="0">
            <x v="37"/>
          </reference>
        </references>
      </pivotArea>
    </chartFormat>
    <chartFormat chart="2" format="355">
      <pivotArea type="data" outline="0" fieldPosition="0">
        <references count="2">
          <reference field="4294967294" count="1" selected="0">
            <x v="2"/>
          </reference>
          <reference field="2" count="1" selected="0">
            <x v="38"/>
          </reference>
        </references>
      </pivotArea>
    </chartFormat>
    <chartFormat chart="2" format="356">
      <pivotArea type="data" outline="0" fieldPosition="0">
        <references count="2">
          <reference field="4294967294" count="1" selected="0">
            <x v="2"/>
          </reference>
          <reference field="2" count="1" selected="0">
            <x v="39"/>
          </reference>
        </references>
      </pivotArea>
    </chartFormat>
    <chartFormat chart="2" format="357">
      <pivotArea type="data" outline="0" fieldPosition="0">
        <references count="2">
          <reference field="4294967294" count="1" selected="0">
            <x v="2"/>
          </reference>
          <reference field="2" count="1" selected="0">
            <x v="40"/>
          </reference>
        </references>
      </pivotArea>
    </chartFormat>
    <chartFormat chart="2" format="358">
      <pivotArea type="data" outline="0" fieldPosition="0">
        <references count="2">
          <reference field="4294967294" count="1" selected="0">
            <x v="2"/>
          </reference>
          <reference field="2" count="1" selected="0">
            <x v="41"/>
          </reference>
        </references>
      </pivotArea>
    </chartFormat>
    <chartFormat chart="2" format="359">
      <pivotArea type="data" outline="0" fieldPosition="0">
        <references count="2">
          <reference field="4294967294" count="1" selected="0">
            <x v="2"/>
          </reference>
          <reference field="2" count="1" selected="0">
            <x v="42"/>
          </reference>
        </references>
      </pivotArea>
    </chartFormat>
    <chartFormat chart="2" format="360">
      <pivotArea type="data" outline="0" fieldPosition="0">
        <references count="2">
          <reference field="4294967294" count="1" selected="0">
            <x v="2"/>
          </reference>
          <reference field="2" count="1" selected="0">
            <x v="43"/>
          </reference>
        </references>
      </pivotArea>
    </chartFormat>
    <chartFormat chart="2" format="361">
      <pivotArea type="data" outline="0" fieldPosition="0">
        <references count="2">
          <reference field="4294967294" count="1" selected="0">
            <x v="2"/>
          </reference>
          <reference field="2" count="1" selected="0">
            <x v="44"/>
          </reference>
        </references>
      </pivotArea>
    </chartFormat>
    <chartFormat chart="2" format="362">
      <pivotArea type="data" outline="0" fieldPosition="0">
        <references count="2">
          <reference field="4294967294" count="1" selected="0">
            <x v="2"/>
          </reference>
          <reference field="2" count="1" selected="0">
            <x v="45"/>
          </reference>
        </references>
      </pivotArea>
    </chartFormat>
    <chartFormat chart="2" format="363">
      <pivotArea type="data" outline="0" fieldPosition="0">
        <references count="2">
          <reference field="4294967294" count="1" selected="0">
            <x v="2"/>
          </reference>
          <reference field="2" count="1" selected="0">
            <x v="46"/>
          </reference>
        </references>
      </pivotArea>
    </chartFormat>
    <chartFormat chart="2" format="364">
      <pivotArea type="data" outline="0" fieldPosition="0">
        <references count="2">
          <reference field="4294967294" count="1" selected="0">
            <x v="2"/>
          </reference>
          <reference field="2" count="1" selected="0">
            <x v="47"/>
          </reference>
        </references>
      </pivotArea>
    </chartFormat>
    <chartFormat chart="2" format="365">
      <pivotArea type="data" outline="0" fieldPosition="0">
        <references count="2">
          <reference field="4294967294" count="1" selected="0">
            <x v="2"/>
          </reference>
          <reference field="2" count="1" selected="0">
            <x v="48"/>
          </reference>
        </references>
      </pivotArea>
    </chartFormat>
    <chartFormat chart="2" format="366">
      <pivotArea type="data" outline="0" fieldPosition="0">
        <references count="2">
          <reference field="4294967294" count="1" selected="0">
            <x v="2"/>
          </reference>
          <reference field="2" count="1" selected="0">
            <x v="49"/>
          </reference>
        </references>
      </pivotArea>
    </chartFormat>
    <chartFormat chart="2" format="367">
      <pivotArea type="data" outline="0" fieldPosition="0">
        <references count="2">
          <reference field="4294967294" count="1" selected="0">
            <x v="2"/>
          </reference>
          <reference field="2" count="1" selected="0">
            <x v="50"/>
          </reference>
        </references>
      </pivotArea>
    </chartFormat>
    <chartFormat chart="2" format="368" series="1">
      <pivotArea type="data" outline="0" fieldPosition="0">
        <references count="1">
          <reference field="4294967294" count="1" selected="0">
            <x v="3"/>
          </reference>
        </references>
      </pivotArea>
    </chartFormat>
    <chartFormat chart="2" format="369">
      <pivotArea type="data" outline="0" fieldPosition="0">
        <references count="2">
          <reference field="4294967294" count="1" selected="0">
            <x v="3"/>
          </reference>
          <reference field="2" count="1" selected="0">
            <x v="0"/>
          </reference>
        </references>
      </pivotArea>
    </chartFormat>
    <chartFormat chart="2" format="370">
      <pivotArea type="data" outline="0" fieldPosition="0">
        <references count="2">
          <reference field="4294967294" count="1" selected="0">
            <x v="3"/>
          </reference>
          <reference field="2" count="1" selected="0">
            <x v="1"/>
          </reference>
        </references>
      </pivotArea>
    </chartFormat>
    <chartFormat chart="2" format="371">
      <pivotArea type="data" outline="0" fieldPosition="0">
        <references count="2">
          <reference field="4294967294" count="1" selected="0">
            <x v="3"/>
          </reference>
          <reference field="2" count="1" selected="0">
            <x v="2"/>
          </reference>
        </references>
      </pivotArea>
    </chartFormat>
    <chartFormat chart="2" format="372">
      <pivotArea type="data" outline="0" fieldPosition="0">
        <references count="2">
          <reference field="4294967294" count="1" selected="0">
            <x v="3"/>
          </reference>
          <reference field="2" count="1" selected="0">
            <x v="3"/>
          </reference>
        </references>
      </pivotArea>
    </chartFormat>
    <chartFormat chart="2" format="373">
      <pivotArea type="data" outline="0" fieldPosition="0">
        <references count="2">
          <reference field="4294967294" count="1" selected="0">
            <x v="3"/>
          </reference>
          <reference field="2" count="1" selected="0">
            <x v="4"/>
          </reference>
        </references>
      </pivotArea>
    </chartFormat>
    <chartFormat chart="2" format="374">
      <pivotArea type="data" outline="0" fieldPosition="0">
        <references count="2">
          <reference field="4294967294" count="1" selected="0">
            <x v="3"/>
          </reference>
          <reference field="2" count="1" selected="0">
            <x v="5"/>
          </reference>
        </references>
      </pivotArea>
    </chartFormat>
    <chartFormat chart="2" format="375">
      <pivotArea type="data" outline="0" fieldPosition="0">
        <references count="2">
          <reference field="4294967294" count="1" selected="0">
            <x v="3"/>
          </reference>
          <reference field="2" count="1" selected="0">
            <x v="6"/>
          </reference>
        </references>
      </pivotArea>
    </chartFormat>
    <chartFormat chart="2" format="376">
      <pivotArea type="data" outline="0" fieldPosition="0">
        <references count="2">
          <reference field="4294967294" count="1" selected="0">
            <x v="3"/>
          </reference>
          <reference field="2" count="1" selected="0">
            <x v="7"/>
          </reference>
        </references>
      </pivotArea>
    </chartFormat>
    <chartFormat chart="2" format="377">
      <pivotArea type="data" outline="0" fieldPosition="0">
        <references count="2">
          <reference field="4294967294" count="1" selected="0">
            <x v="3"/>
          </reference>
          <reference field="2" count="1" selected="0">
            <x v="8"/>
          </reference>
        </references>
      </pivotArea>
    </chartFormat>
    <chartFormat chart="2" format="378">
      <pivotArea type="data" outline="0" fieldPosition="0">
        <references count="2">
          <reference field="4294967294" count="1" selected="0">
            <x v="3"/>
          </reference>
          <reference field="2" count="1" selected="0">
            <x v="9"/>
          </reference>
        </references>
      </pivotArea>
    </chartFormat>
    <chartFormat chart="2" format="379">
      <pivotArea type="data" outline="0" fieldPosition="0">
        <references count="2">
          <reference field="4294967294" count="1" selected="0">
            <x v="3"/>
          </reference>
          <reference field="2" count="1" selected="0">
            <x v="10"/>
          </reference>
        </references>
      </pivotArea>
    </chartFormat>
    <chartFormat chart="2" format="380">
      <pivotArea type="data" outline="0" fieldPosition="0">
        <references count="2">
          <reference field="4294967294" count="1" selected="0">
            <x v="3"/>
          </reference>
          <reference field="2" count="1" selected="0">
            <x v="11"/>
          </reference>
        </references>
      </pivotArea>
    </chartFormat>
    <chartFormat chart="2" format="381">
      <pivotArea type="data" outline="0" fieldPosition="0">
        <references count="2">
          <reference field="4294967294" count="1" selected="0">
            <x v="3"/>
          </reference>
          <reference field="2" count="1" selected="0">
            <x v="12"/>
          </reference>
        </references>
      </pivotArea>
    </chartFormat>
    <chartFormat chart="2" format="382">
      <pivotArea type="data" outline="0" fieldPosition="0">
        <references count="2">
          <reference field="4294967294" count="1" selected="0">
            <x v="3"/>
          </reference>
          <reference field="2" count="1" selected="0">
            <x v="13"/>
          </reference>
        </references>
      </pivotArea>
    </chartFormat>
    <chartFormat chart="2" format="383">
      <pivotArea type="data" outline="0" fieldPosition="0">
        <references count="2">
          <reference field="4294967294" count="1" selected="0">
            <x v="3"/>
          </reference>
          <reference field="2" count="1" selected="0">
            <x v="14"/>
          </reference>
        </references>
      </pivotArea>
    </chartFormat>
    <chartFormat chart="2" format="384">
      <pivotArea type="data" outline="0" fieldPosition="0">
        <references count="2">
          <reference field="4294967294" count="1" selected="0">
            <x v="3"/>
          </reference>
          <reference field="2" count="1" selected="0">
            <x v="15"/>
          </reference>
        </references>
      </pivotArea>
    </chartFormat>
    <chartFormat chart="2" format="385">
      <pivotArea type="data" outline="0" fieldPosition="0">
        <references count="2">
          <reference field="4294967294" count="1" selected="0">
            <x v="3"/>
          </reference>
          <reference field="2" count="1" selected="0">
            <x v="16"/>
          </reference>
        </references>
      </pivotArea>
    </chartFormat>
    <chartFormat chart="2" format="386">
      <pivotArea type="data" outline="0" fieldPosition="0">
        <references count="2">
          <reference field="4294967294" count="1" selected="0">
            <x v="3"/>
          </reference>
          <reference field="2" count="1" selected="0">
            <x v="17"/>
          </reference>
        </references>
      </pivotArea>
    </chartFormat>
    <chartFormat chart="2" format="387">
      <pivotArea type="data" outline="0" fieldPosition="0">
        <references count="2">
          <reference field="4294967294" count="1" selected="0">
            <x v="3"/>
          </reference>
          <reference field="2" count="1" selected="0">
            <x v="18"/>
          </reference>
        </references>
      </pivotArea>
    </chartFormat>
    <chartFormat chart="2" format="388">
      <pivotArea type="data" outline="0" fieldPosition="0">
        <references count="2">
          <reference field="4294967294" count="1" selected="0">
            <x v="3"/>
          </reference>
          <reference field="2" count="1" selected="0">
            <x v="19"/>
          </reference>
        </references>
      </pivotArea>
    </chartFormat>
    <chartFormat chart="2" format="389">
      <pivotArea type="data" outline="0" fieldPosition="0">
        <references count="2">
          <reference field="4294967294" count="1" selected="0">
            <x v="3"/>
          </reference>
          <reference field="2" count="1" selected="0">
            <x v="20"/>
          </reference>
        </references>
      </pivotArea>
    </chartFormat>
    <chartFormat chart="2" format="390">
      <pivotArea type="data" outline="0" fieldPosition="0">
        <references count="2">
          <reference field="4294967294" count="1" selected="0">
            <x v="3"/>
          </reference>
          <reference field="2" count="1" selected="0">
            <x v="21"/>
          </reference>
        </references>
      </pivotArea>
    </chartFormat>
    <chartFormat chart="2" format="391">
      <pivotArea type="data" outline="0" fieldPosition="0">
        <references count="2">
          <reference field="4294967294" count="1" selected="0">
            <x v="3"/>
          </reference>
          <reference field="2" count="1" selected="0">
            <x v="22"/>
          </reference>
        </references>
      </pivotArea>
    </chartFormat>
    <chartFormat chart="2" format="392">
      <pivotArea type="data" outline="0" fieldPosition="0">
        <references count="2">
          <reference field="4294967294" count="1" selected="0">
            <x v="3"/>
          </reference>
          <reference field="2" count="1" selected="0">
            <x v="23"/>
          </reference>
        </references>
      </pivotArea>
    </chartFormat>
    <chartFormat chart="2" format="393">
      <pivotArea type="data" outline="0" fieldPosition="0">
        <references count="2">
          <reference field="4294967294" count="1" selected="0">
            <x v="3"/>
          </reference>
          <reference field="2" count="1" selected="0">
            <x v="24"/>
          </reference>
        </references>
      </pivotArea>
    </chartFormat>
    <chartFormat chart="2" format="394">
      <pivotArea type="data" outline="0" fieldPosition="0">
        <references count="2">
          <reference field="4294967294" count="1" selected="0">
            <x v="3"/>
          </reference>
          <reference field="2" count="1" selected="0">
            <x v="25"/>
          </reference>
        </references>
      </pivotArea>
    </chartFormat>
    <chartFormat chart="2" format="395">
      <pivotArea type="data" outline="0" fieldPosition="0">
        <references count="2">
          <reference field="4294967294" count="1" selected="0">
            <x v="3"/>
          </reference>
          <reference field="2" count="1" selected="0">
            <x v="26"/>
          </reference>
        </references>
      </pivotArea>
    </chartFormat>
    <chartFormat chart="2" format="396">
      <pivotArea type="data" outline="0" fieldPosition="0">
        <references count="2">
          <reference field="4294967294" count="1" selected="0">
            <x v="3"/>
          </reference>
          <reference field="2" count="1" selected="0">
            <x v="27"/>
          </reference>
        </references>
      </pivotArea>
    </chartFormat>
    <chartFormat chart="2" format="397">
      <pivotArea type="data" outline="0" fieldPosition="0">
        <references count="2">
          <reference field="4294967294" count="1" selected="0">
            <x v="3"/>
          </reference>
          <reference field="2" count="1" selected="0">
            <x v="28"/>
          </reference>
        </references>
      </pivotArea>
    </chartFormat>
    <chartFormat chart="2" format="398">
      <pivotArea type="data" outline="0" fieldPosition="0">
        <references count="2">
          <reference field="4294967294" count="1" selected="0">
            <x v="3"/>
          </reference>
          <reference field="2" count="1" selected="0">
            <x v="29"/>
          </reference>
        </references>
      </pivotArea>
    </chartFormat>
    <chartFormat chart="2" format="399">
      <pivotArea type="data" outline="0" fieldPosition="0">
        <references count="2">
          <reference field="4294967294" count="1" selected="0">
            <x v="3"/>
          </reference>
          <reference field="2" count="1" selected="0">
            <x v="30"/>
          </reference>
        </references>
      </pivotArea>
    </chartFormat>
    <chartFormat chart="2" format="400">
      <pivotArea type="data" outline="0" fieldPosition="0">
        <references count="2">
          <reference field="4294967294" count="1" selected="0">
            <x v="3"/>
          </reference>
          <reference field="2" count="1" selected="0">
            <x v="31"/>
          </reference>
        </references>
      </pivotArea>
    </chartFormat>
    <chartFormat chart="2" format="401">
      <pivotArea type="data" outline="0" fieldPosition="0">
        <references count="2">
          <reference field="4294967294" count="1" selected="0">
            <x v="3"/>
          </reference>
          <reference field="2" count="1" selected="0">
            <x v="32"/>
          </reference>
        </references>
      </pivotArea>
    </chartFormat>
    <chartFormat chart="2" format="402">
      <pivotArea type="data" outline="0" fieldPosition="0">
        <references count="2">
          <reference field="4294967294" count="1" selected="0">
            <x v="3"/>
          </reference>
          <reference field="2" count="1" selected="0">
            <x v="33"/>
          </reference>
        </references>
      </pivotArea>
    </chartFormat>
    <chartFormat chart="2" format="403">
      <pivotArea type="data" outline="0" fieldPosition="0">
        <references count="2">
          <reference field="4294967294" count="1" selected="0">
            <x v="3"/>
          </reference>
          <reference field="2" count="1" selected="0">
            <x v="34"/>
          </reference>
        </references>
      </pivotArea>
    </chartFormat>
    <chartFormat chart="2" format="404">
      <pivotArea type="data" outline="0" fieldPosition="0">
        <references count="2">
          <reference field="4294967294" count="1" selected="0">
            <x v="3"/>
          </reference>
          <reference field="2" count="1" selected="0">
            <x v="35"/>
          </reference>
        </references>
      </pivotArea>
    </chartFormat>
    <chartFormat chart="2" format="405">
      <pivotArea type="data" outline="0" fieldPosition="0">
        <references count="2">
          <reference field="4294967294" count="1" selected="0">
            <x v="3"/>
          </reference>
          <reference field="2" count="1" selected="0">
            <x v="36"/>
          </reference>
        </references>
      </pivotArea>
    </chartFormat>
    <chartFormat chart="2" format="406">
      <pivotArea type="data" outline="0" fieldPosition="0">
        <references count="2">
          <reference field="4294967294" count="1" selected="0">
            <x v="3"/>
          </reference>
          <reference field="2" count="1" selected="0">
            <x v="37"/>
          </reference>
        </references>
      </pivotArea>
    </chartFormat>
    <chartFormat chart="2" format="407">
      <pivotArea type="data" outline="0" fieldPosition="0">
        <references count="2">
          <reference field="4294967294" count="1" selected="0">
            <x v="3"/>
          </reference>
          <reference field="2" count="1" selected="0">
            <x v="38"/>
          </reference>
        </references>
      </pivotArea>
    </chartFormat>
    <chartFormat chart="2" format="408">
      <pivotArea type="data" outline="0" fieldPosition="0">
        <references count="2">
          <reference field="4294967294" count="1" selected="0">
            <x v="3"/>
          </reference>
          <reference field="2" count="1" selected="0">
            <x v="39"/>
          </reference>
        </references>
      </pivotArea>
    </chartFormat>
    <chartFormat chart="2" format="409">
      <pivotArea type="data" outline="0" fieldPosition="0">
        <references count="2">
          <reference field="4294967294" count="1" selected="0">
            <x v="3"/>
          </reference>
          <reference field="2" count="1" selected="0">
            <x v="40"/>
          </reference>
        </references>
      </pivotArea>
    </chartFormat>
    <chartFormat chart="2" format="410">
      <pivotArea type="data" outline="0" fieldPosition="0">
        <references count="2">
          <reference field="4294967294" count="1" selected="0">
            <x v="3"/>
          </reference>
          <reference field="2" count="1" selected="0">
            <x v="41"/>
          </reference>
        </references>
      </pivotArea>
    </chartFormat>
    <chartFormat chart="2" format="411">
      <pivotArea type="data" outline="0" fieldPosition="0">
        <references count="2">
          <reference field="4294967294" count="1" selected="0">
            <x v="3"/>
          </reference>
          <reference field="2" count="1" selected="0">
            <x v="42"/>
          </reference>
        </references>
      </pivotArea>
    </chartFormat>
    <chartFormat chart="2" format="412">
      <pivotArea type="data" outline="0" fieldPosition="0">
        <references count="2">
          <reference field="4294967294" count="1" selected="0">
            <x v="3"/>
          </reference>
          <reference field="2" count="1" selected="0">
            <x v="43"/>
          </reference>
        </references>
      </pivotArea>
    </chartFormat>
    <chartFormat chart="2" format="413">
      <pivotArea type="data" outline="0" fieldPosition="0">
        <references count="2">
          <reference field="4294967294" count="1" selected="0">
            <x v="3"/>
          </reference>
          <reference field="2" count="1" selected="0">
            <x v="44"/>
          </reference>
        </references>
      </pivotArea>
    </chartFormat>
    <chartFormat chart="2" format="414">
      <pivotArea type="data" outline="0" fieldPosition="0">
        <references count="2">
          <reference field="4294967294" count="1" selected="0">
            <x v="3"/>
          </reference>
          <reference field="2" count="1" selected="0">
            <x v="45"/>
          </reference>
        </references>
      </pivotArea>
    </chartFormat>
    <chartFormat chart="2" format="415">
      <pivotArea type="data" outline="0" fieldPosition="0">
        <references count="2">
          <reference field="4294967294" count="1" selected="0">
            <x v="3"/>
          </reference>
          <reference field="2" count="1" selected="0">
            <x v="46"/>
          </reference>
        </references>
      </pivotArea>
    </chartFormat>
    <chartFormat chart="2" format="416">
      <pivotArea type="data" outline="0" fieldPosition="0">
        <references count="2">
          <reference field="4294967294" count="1" selected="0">
            <x v="3"/>
          </reference>
          <reference field="2" count="1" selected="0">
            <x v="47"/>
          </reference>
        </references>
      </pivotArea>
    </chartFormat>
    <chartFormat chart="2" format="417">
      <pivotArea type="data" outline="0" fieldPosition="0">
        <references count="2">
          <reference field="4294967294" count="1" selected="0">
            <x v="3"/>
          </reference>
          <reference field="2" count="1" selected="0">
            <x v="48"/>
          </reference>
        </references>
      </pivotArea>
    </chartFormat>
    <chartFormat chart="2" format="418">
      <pivotArea type="data" outline="0" fieldPosition="0">
        <references count="2">
          <reference field="4294967294" count="1" selected="0">
            <x v="3"/>
          </reference>
          <reference field="2" count="1" selected="0">
            <x v="49"/>
          </reference>
        </references>
      </pivotArea>
    </chartFormat>
    <chartFormat chart="2" format="419">
      <pivotArea type="data" outline="0" fieldPosition="0">
        <references count="2">
          <reference field="4294967294" count="1" selected="0">
            <x v="3"/>
          </reference>
          <reference field="2" count="1" selected="0">
            <x v="5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9000000}" name="PivotTable19"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I20:J23" firstHeaderRow="1" firstDataRow="1" firstDataCol="1"/>
  <pivotFields count="13">
    <pivotField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axis="axisRow" compact="0" outline="0" showAll="0">
      <items count="3">
        <item x="0"/>
        <item x="1"/>
        <item t="default"/>
      </items>
    </pivotField>
    <pivotField compact="0" outline="0" showAll="0">
      <items count="8">
        <item x="6"/>
        <item x="0"/>
        <item x="1"/>
        <item x="2"/>
        <item x="3"/>
        <item x="4"/>
        <item x="5"/>
        <item t="default"/>
      </items>
    </pivotField>
    <pivotField compact="0" numFmtId="2" outline="0" showAll="0"/>
    <pivotField dataField="1" compact="0" numFmtId="2" outline="0" showAll="0">
      <items count="6">
        <item x="1"/>
        <item x="0"/>
        <item x="2"/>
        <item x="3"/>
        <item x="4"/>
        <item t="default"/>
      </items>
    </pivotField>
    <pivotField compact="0" numFmtId="2" outline="0" showAll="0"/>
    <pivotField compact="0" numFmtId="2" outline="0" showAll="0"/>
    <pivotField compact="0"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howAll="0" defaultSubtotal="0">
      <items count="14">
        <item x="0"/>
        <item x="1"/>
        <item x="2"/>
        <item x="3"/>
        <item x="4"/>
        <item x="5"/>
        <item x="6"/>
        <item x="7"/>
        <item x="8"/>
        <item x="9"/>
        <item x="10"/>
        <item x="11"/>
        <item x="12"/>
        <item x="13"/>
      </items>
    </pivotField>
  </pivotFields>
  <rowFields count="1">
    <field x="5"/>
  </rowFields>
  <rowItems count="3">
    <i>
      <x/>
    </i>
    <i>
      <x v="1"/>
    </i>
    <i t="grand">
      <x/>
    </i>
  </rowItems>
  <colItems count="1">
    <i/>
  </colItems>
  <dataFields count="1">
    <dataField name="Sum of Order Quantity" fld="8" baseField="0" baseItem="0" numFmtId="2"/>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400-00000E000000}" name="PivotTable5"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16:B124" firstHeaderRow="1" firstDataRow="1" firstDataCol="1"/>
  <pivotFields count="13">
    <pivotField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compact="0" outline="0" showAll="0"/>
    <pivotField axis="axisRow" compact="0" outline="0" showAll="0" sortType="ascending">
      <items count="8">
        <item x="6"/>
        <item x="0"/>
        <item x="1"/>
        <item x="2"/>
        <item x="3"/>
        <item x="4"/>
        <item x="5"/>
        <item t="default"/>
      </items>
      <autoSortScope>
        <pivotArea dataOnly="0" outline="0" fieldPosition="0">
          <references count="1">
            <reference field="4294967294" count="1" selected="0">
              <x v="0"/>
            </reference>
          </references>
        </pivotArea>
      </autoSortScope>
    </pivotField>
    <pivotField compact="0" numFmtId="2" outline="0" showAll="0"/>
    <pivotField compact="0" numFmtId="2" outline="0" showAll="0"/>
    <pivotField compact="0" numFmtId="2" outline="0" showAll="0"/>
    <pivotField dataField="1"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8">
    <i>
      <x v="5"/>
    </i>
    <i>
      <x v="1"/>
    </i>
    <i>
      <x v="6"/>
    </i>
    <i>
      <x v="2"/>
    </i>
    <i>
      <x v="3"/>
    </i>
    <i>
      <x/>
    </i>
    <i>
      <x v="4"/>
    </i>
    <i t="grand">
      <x/>
    </i>
  </rowItems>
  <colItems count="1">
    <i/>
  </colItems>
  <dataFields count="1">
    <dataField name="Sum of Total (USD)"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400-000014000000}" name="PivotTable1"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2:A3" firstHeaderRow="1" firstDataRow="1" firstDataCol="0"/>
  <pivotFields count="13">
    <pivotField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compact="0" outline="0" showAll="0"/>
    <pivotField compact="0" outline="0" showAll="0">
      <items count="8">
        <item x="6"/>
        <item x="0"/>
        <item x="1"/>
        <item x="2"/>
        <item x="3"/>
        <item x="4"/>
        <item x="5"/>
        <item t="default"/>
      </items>
    </pivotField>
    <pivotField compact="0" numFmtId="2" outline="0" showAll="0"/>
    <pivotField compact="0" numFmtId="2" outline="0" showAll="0"/>
    <pivotField compact="0" numFmtId="2" outline="0" showAll="0"/>
    <pivotField dataField="1"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USD)"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400-00000B000000}" name="PivotTable3"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6">
  <location ref="A8:B14" firstHeaderRow="1" firstDataRow="1" firstDataCol="1"/>
  <pivotFields count="13">
    <pivotField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axis="axisRow" compact="0" outline="0" showAll="0" measureFilter="1" sortType="descending">
      <items count="52">
        <item x="10"/>
        <item x="24"/>
        <item x="37"/>
        <item x="43"/>
        <item x="32"/>
        <item x="7"/>
        <item x="12"/>
        <item x="29"/>
        <item x="40"/>
        <item x="2"/>
        <item x="20"/>
        <item x="48"/>
        <item x="11"/>
        <item x="14"/>
        <item x="44"/>
        <item x="25"/>
        <item x="33"/>
        <item x="38"/>
        <item x="5"/>
        <item x="17"/>
        <item x="9"/>
        <item x="0"/>
        <item x="41"/>
        <item x="49"/>
        <item x="23"/>
        <item x="30"/>
        <item x="13"/>
        <item x="36"/>
        <item x="28"/>
        <item x="47"/>
        <item x="19"/>
        <item x="1"/>
        <item x="16"/>
        <item x="34"/>
        <item x="45"/>
        <item x="26"/>
        <item x="3"/>
        <item x="4"/>
        <item x="42"/>
        <item x="50"/>
        <item x="31"/>
        <item x="27"/>
        <item x="18"/>
        <item x="6"/>
        <item x="39"/>
        <item x="35"/>
        <item x="46"/>
        <item x="8"/>
        <item x="22"/>
        <item x="21"/>
        <item x="15"/>
        <item t="default"/>
      </items>
      <autoSortScope>
        <pivotArea dataOnly="0" outline="0" fieldPosition="0">
          <references count="1">
            <reference field="4294967294" count="1" selected="0">
              <x v="0"/>
            </reference>
          </references>
        </pivotArea>
      </autoSortScope>
    </pivotField>
    <pivotField compact="0" numFmtId="14" outline="0" showAll="0"/>
    <pivotField compact="0" outline="0" showAll="0">
      <items count="2">
        <item x="0"/>
        <item t="default"/>
      </items>
    </pivotField>
    <pivotField compact="0" outline="0" showAll="0"/>
    <pivotField compact="0" outline="0" showAll="0">
      <items count="8">
        <item x="6"/>
        <item x="0"/>
        <item x="1"/>
        <item x="2"/>
        <item x="3"/>
        <item x="4"/>
        <item x="5"/>
        <item t="default"/>
      </items>
    </pivotField>
    <pivotField compact="0" numFmtId="2" outline="0" showAll="0"/>
    <pivotField compact="0" numFmtId="2" outline="0" showAll="0"/>
    <pivotField compact="0" numFmtId="2" outline="0" showAll="0"/>
    <pivotField dataField="1"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6">
    <i>
      <x v="30"/>
    </i>
    <i>
      <x v="9"/>
    </i>
    <i>
      <x v="37"/>
    </i>
    <i>
      <x v="22"/>
    </i>
    <i>
      <x v="38"/>
    </i>
    <i t="grand">
      <x/>
    </i>
  </rowItems>
  <colItems count="1">
    <i/>
  </colItems>
  <dataFields count="1">
    <dataField name="Sum of Total (USD)" fld="10" baseField="0" baseItem="0" numFmtId="2"/>
  </dataFields>
  <chartFormats count="3">
    <chartFormat chart="14" format="23"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2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11"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55:B191" firstHeaderRow="1" firstDataRow="1" firstDataCol="1"/>
  <pivotFields count="13">
    <pivotField dataField="1" compact="0" outline="0" showAll="0"/>
    <pivotField axis="axisRow"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compact="0" outline="0" showAll="0">
      <items count="3">
        <item x="0"/>
        <item x="1"/>
        <item t="default"/>
      </items>
    </pivotField>
    <pivotField compact="0" outline="0" showAll="0" sortType="descending">
      <items count="8">
        <item x="6"/>
        <item x="0"/>
        <item x="1"/>
        <item x="2"/>
        <item x="3"/>
        <item x="4"/>
        <item x="5"/>
        <item t="default"/>
      </items>
      <autoSortScope>
        <pivotArea dataOnly="0" outline="0" fieldPosition="0">
          <references count="1">
            <reference field="4294967294" count="1" selected="0">
              <x v="0"/>
            </reference>
          </references>
        </pivotArea>
      </autoSortScope>
    </pivotField>
    <pivotField compact="0" numFmtId="2" outline="0" showAll="0"/>
    <pivotField compact="0" numFmtId="2" outline="0" showAll="0"/>
    <pivotField compact="0" numFmtId="2" outline="0" showAll="0"/>
    <pivotField compact="0" numFmtId="2"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Count of Order 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400-000012000000}" name="PivotTable17"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7">
  <location ref="I2:K11" firstHeaderRow="1" firstDataRow="1" firstDataCol="2"/>
  <pivotFields count="13">
    <pivotField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axis="axisRow" compact="0" outline="0" showAll="0">
      <items count="2">
        <item x="0"/>
        <item t="default"/>
      </items>
    </pivotField>
    <pivotField compact="0" outline="0" showAll="0">
      <items count="3">
        <item x="0"/>
        <item x="1"/>
        <item t="default"/>
      </items>
    </pivotField>
    <pivotField axis="axisRow" compact="0" outline="0" showAll="0">
      <items count="8">
        <item x="6"/>
        <item x="0"/>
        <item x="1"/>
        <item x="2"/>
        <item x="3"/>
        <item x="4"/>
        <item x="5"/>
        <item t="default"/>
      </items>
    </pivotField>
    <pivotField compact="0" numFmtId="2" outline="0" showAll="0"/>
    <pivotField compact="0" numFmtId="2" outline="0" showAll="0"/>
    <pivotField compact="0" numFmtId="2" outline="0" showAll="0"/>
    <pivotField dataField="1" compact="0" numFmtId="2" outline="0" showAll="0"/>
    <pivotField compact="0" outline="0" showAll="0" defaultSubtotal="0">
      <items count="3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s>
    </pivotField>
    <pivotField compact="0" outline="0" showAll="0" defaultSubtotal="0">
      <items count="14">
        <item x="0"/>
        <item x="1"/>
        <item x="2"/>
        <item x="3"/>
        <item x="4"/>
        <item x="5"/>
        <item x="6"/>
        <item x="7"/>
        <item x="8"/>
        <item x="9"/>
        <item x="10"/>
        <item x="11"/>
        <item x="12"/>
        <item x="13"/>
      </items>
    </pivotField>
  </pivotFields>
  <rowFields count="2">
    <field x="4"/>
    <field x="6"/>
  </rowFields>
  <rowItems count="9">
    <i>
      <x/>
      <x/>
    </i>
    <i r="1">
      <x v="1"/>
    </i>
    <i r="1">
      <x v="2"/>
    </i>
    <i r="1">
      <x v="3"/>
    </i>
    <i r="1">
      <x v="4"/>
    </i>
    <i r="1">
      <x v="5"/>
    </i>
    <i r="1">
      <x v="6"/>
    </i>
    <i t="default">
      <x/>
    </i>
    <i t="grand">
      <x/>
    </i>
  </rowItems>
  <colItems count="1">
    <i/>
  </colItems>
  <dataFields count="1">
    <dataField name="Sum of Total (USD)" fld="10" baseField="0" baseItem="0" numFmtId="2"/>
  </dataField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12"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05:B241" firstHeaderRow="1" firstDataRow="1" firstDataCol="1"/>
  <pivotFields count="13">
    <pivotField compact="0" outline="0" showAll="0"/>
    <pivotField axis="axisRow"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compact="0" outline="0" showAll="0">
      <items count="3">
        <item x="0"/>
        <item x="1"/>
        <item t="default"/>
      </items>
    </pivotField>
    <pivotField compact="0" outline="0" showAll="0">
      <items count="8">
        <item x="6"/>
        <item x="0"/>
        <item x="1"/>
        <item x="2"/>
        <item x="3"/>
        <item x="4"/>
        <item x="5"/>
        <item t="default"/>
      </items>
    </pivotField>
    <pivotField compact="0" numFmtId="2" outline="0" showAll="0"/>
    <pivotField compact="0" numFmtId="2" outline="0" showAll="0"/>
    <pivotField compact="0" numFmtId="2" outline="0" showAll="0"/>
    <pivotField dataField="1" compact="0" numFmtId="2"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Sum of Total (USD)"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5BE1F49-2A29-46F9-86F1-0A29FE169F0E}" name="PivotTable22"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58:B359" firstHeaderRow="0" firstDataRow="1" firstDataCol="0"/>
  <pivotFields count="13">
    <pivotField dataField="1"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compact="0" outline="0" showAll="0"/>
    <pivotField compact="0" outline="0" showAll="0">
      <items count="8">
        <item x="6"/>
        <item x="0"/>
        <item x="1"/>
        <item x="2"/>
        <item x="3"/>
        <item x="4"/>
        <item x="5"/>
        <item t="default"/>
      </items>
    </pivotField>
    <pivotField compact="0" numFmtId="2" outline="0" showAll="0"/>
    <pivotField compact="0" numFmtId="2" outline="0" showAll="0"/>
    <pivotField compact="0" numFmtId="2" outline="0" showAll="0"/>
    <pivotField dataField="1"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Items count="1">
    <i/>
  </rowItems>
  <colFields count="1">
    <field x="-2"/>
  </colFields>
  <colItems count="2">
    <i>
      <x/>
    </i>
    <i i="1">
      <x v="1"/>
    </i>
  </colItems>
  <dataFields count="2">
    <dataField name="Count of Order No" fld="0" subtotal="count" baseField="0" baseItem="0"/>
    <dataField name="Sum of Total (USD)"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6"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27:B135" firstHeaderRow="1" firstDataRow="1" firstDataCol="1"/>
  <pivotFields count="13">
    <pivotField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compact="0" outline="0" showAll="0"/>
    <pivotField axis="axisRow" compact="0" outline="0" showAll="0" sortType="ascending">
      <items count="8">
        <item x="5"/>
        <item x="4"/>
        <item x="3"/>
        <item x="2"/>
        <item x="1"/>
        <item x="0"/>
        <item x="6"/>
        <item t="default"/>
      </items>
      <autoSortScope>
        <pivotArea dataOnly="0" outline="0" fieldPosition="0">
          <references count="1">
            <reference field="4294967294" count="1" selected="0">
              <x v="0"/>
            </reference>
          </references>
        </pivotArea>
      </autoSortScope>
    </pivotField>
    <pivotField compact="0" numFmtId="2" outline="0" showAll="0"/>
    <pivotField dataField="1" compact="0" numFmtId="2" outline="0" showAll="0"/>
    <pivotField compact="0" numFmtId="2" outline="0" showAll="0"/>
    <pivotField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8">
    <i>
      <x v="1"/>
    </i>
    <i>
      <x v="6"/>
    </i>
    <i>
      <x v="5"/>
    </i>
    <i>
      <x v="3"/>
    </i>
    <i>
      <x v="4"/>
    </i>
    <i>
      <x v="2"/>
    </i>
    <i>
      <x/>
    </i>
    <i t="grand">
      <x/>
    </i>
  </rowItems>
  <colItems count="1">
    <i/>
  </colItems>
  <dataFields count="1">
    <dataField name="Average of Order Quantity" fld="8" subtotal="average" baseField="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400-000010000000}" name="PivotTable7"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38:B141" firstHeaderRow="1" firstDataRow="1" firstDataCol="1"/>
  <pivotFields count="13">
    <pivotField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axis="axisRow" compact="0" outline="0" showAll="0">
      <items count="3">
        <item x="0"/>
        <item x="1"/>
        <item t="default"/>
      </items>
    </pivotField>
    <pivotField compact="0" outline="0" showAll="0">
      <items count="8">
        <item x="6"/>
        <item x="0"/>
        <item x="1"/>
        <item x="2"/>
        <item x="3"/>
        <item x="4"/>
        <item x="5"/>
        <item t="default"/>
      </items>
    </pivotField>
    <pivotField compact="0" numFmtId="2" outline="0" showAll="0"/>
    <pivotField compact="0" numFmtId="2" outline="0" showAll="0"/>
    <pivotField compact="0" numFmtId="2" outline="0" showAll="0"/>
    <pivotField dataField="1"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3">
    <i>
      <x/>
    </i>
    <i>
      <x v="1"/>
    </i>
    <i t="grand">
      <x/>
    </i>
  </rowItems>
  <colItems count="1">
    <i/>
  </colItems>
  <dataFields count="1">
    <dataField name="Sum of Total (USD)"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400-000011000000}" name="PivotTable8"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44:B152" firstHeaderRow="1" firstDataRow="1" firstDataCol="1"/>
  <pivotFields count="13">
    <pivotField dataField="1"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compact="0" outline="0" showAll="0">
      <items count="3">
        <item x="0"/>
        <item x="1"/>
        <item t="default"/>
      </items>
    </pivotField>
    <pivotField axis="axisRow" compact="0" outline="0" showAll="0" sortType="descending">
      <items count="8">
        <item x="6"/>
        <item x="0"/>
        <item x="1"/>
        <item x="2"/>
        <item x="3"/>
        <item x="4"/>
        <item x="5"/>
        <item t="default"/>
      </items>
      <autoSortScope>
        <pivotArea dataOnly="0" outline="0" fieldPosition="0">
          <references count="1">
            <reference field="4294967294" count="1" selected="0">
              <x v="0"/>
            </reference>
          </references>
        </pivotArea>
      </autoSortScope>
    </pivotField>
    <pivotField compact="0" numFmtId="2" outline="0" showAll="0"/>
    <pivotField compact="0" numFmtId="2" outline="0" showAll="0"/>
    <pivotField compact="0" numFmtId="2" outline="0" showAll="0"/>
    <pivotField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8">
    <i>
      <x/>
    </i>
    <i>
      <x v="4"/>
    </i>
    <i>
      <x v="2"/>
    </i>
    <i>
      <x v="1"/>
    </i>
    <i>
      <x v="3"/>
    </i>
    <i>
      <x v="6"/>
    </i>
    <i>
      <x v="5"/>
    </i>
    <i t="grand">
      <x/>
    </i>
  </rowItems>
  <colItems count="1">
    <i/>
  </colItems>
  <dataFields count="1">
    <dataField name="Count of Order 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400-000013000000}" name="PivotTable21" cacheId="339"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I33:I41" firstHeaderRow="1" firstDataRow="1" firstDataCol="1"/>
  <pivotFields count="13">
    <pivotField showAll="0"/>
    <pivotField numFmtId="14"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numFmtId="14" showAll="0"/>
    <pivotField showAll="0"/>
    <pivotField showAll="0"/>
    <pivotField axis="axisRow" showAll="0">
      <items count="8">
        <item x="6"/>
        <item x="0"/>
        <item x="1"/>
        <item x="2"/>
        <item x="3"/>
        <item x="4"/>
        <item x="5"/>
        <item t="default"/>
      </items>
    </pivotField>
    <pivotField numFmtId="2" showAll="0"/>
    <pivotField numFmtId="2" showAll="0"/>
    <pivotField numFmtId="2"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8">
    <i>
      <x/>
    </i>
    <i>
      <x v="1"/>
    </i>
    <i>
      <x v="2"/>
    </i>
    <i>
      <x v="3"/>
    </i>
    <i>
      <x v="4"/>
    </i>
    <i>
      <x v="5"/>
    </i>
    <i>
      <x v="6"/>
    </i>
    <i t="grand">
      <x/>
    </i>
  </rowItems>
  <colItems count="1">
    <i/>
  </colItem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0E5A29B-C2B8-4747-B8D6-F87E6E87A6BE}" name="PivotTable23"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62:A363" firstHeaderRow="1" firstDataRow="1" firstDataCol="0"/>
  <pivotFields count="13">
    <pivotField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compact="0" outline="0" showAll="0"/>
    <pivotField compact="0" outline="0" showAll="0">
      <items count="8">
        <item x="6"/>
        <item x="0"/>
        <item x="1"/>
        <item x="2"/>
        <item x="3"/>
        <item x="4"/>
        <item x="5"/>
        <item t="default"/>
      </items>
    </pivotField>
    <pivotField dataField="1" compact="0" numFmtId="2" outline="0" showAll="0"/>
    <pivotField compact="0" numFmtId="2" outline="0" showAll="0"/>
    <pivotField compact="0" numFmtId="2" outline="0" showAll="0"/>
    <pivotField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tail Price (USD)" fld="7"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13"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56:B292" firstHeaderRow="1" firstDataRow="1" firstDataCol="1"/>
  <pivotFields count="13">
    <pivotField compact="0" outline="0" showAll="0"/>
    <pivotField axis="axisRow"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pivotField compact="0" outline="0" showAll="0"/>
    <pivotField compact="0" outline="0" showAll="0">
      <items count="8">
        <item x="6"/>
        <item x="0"/>
        <item x="1"/>
        <item x="2"/>
        <item x="3"/>
        <item x="4"/>
        <item x="5"/>
        <item t="default"/>
      </items>
    </pivotField>
    <pivotField compact="0" numFmtId="2" outline="0" showAll="0"/>
    <pivotField dataField="1" compact="0" numFmtId="2" outline="0" showAll="0"/>
    <pivotField compact="0" numFmtId="2" outline="0" showAll="0"/>
    <pivotField compact="0" numFmtId="2"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1"/>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Items count="1">
    <i/>
  </colItems>
  <dataFields count="1">
    <dataField name="Sum of Order Quantity" fld="8" baseField="0" baseItem="0" numFmtId="2"/>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C7204DF-BE3E-4912-B6EB-183A19BC3C91}" name="PivotTable25"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65:A366" firstHeaderRow="1" firstDataRow="1" firstDataCol="0"/>
  <pivotFields count="13">
    <pivotField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compact="0" outline="0" showAll="0"/>
    <pivotField compact="0" numFmtId="14" outline="0" showAll="0"/>
    <pivotField compact="0" outline="0" showAll="0">
      <items count="2">
        <item x="0"/>
        <item t="default"/>
      </items>
    </pivotField>
    <pivotField compact="0" outline="0" showAll="0"/>
    <pivotField compact="0" outline="0" showAll="0">
      <items count="8">
        <item x="6"/>
        <item x="0"/>
        <item x="1"/>
        <item x="2"/>
        <item x="3"/>
        <item x="4"/>
        <item x="5"/>
        <item t="default"/>
      </items>
    </pivotField>
    <pivotField dataField="1" compact="0" numFmtId="2" outline="0" showAll="0"/>
    <pivotField compact="0" numFmtId="2" outline="0" showAll="0"/>
    <pivotField compact="0" numFmtId="2" outline="0" showAll="0"/>
    <pivotField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StdDev of Retail Price (USD)" fld="7" subtotal="stdDev"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400-00000C000000}" name="PivotTable14"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95:B301" firstHeaderRow="1" firstDataRow="1" firstDataCol="1"/>
  <pivotFields count="13">
    <pivotField compact="0" outline="0" showAll="0"/>
    <pivotField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axis="axisRow" compact="0" outline="0" showAll="0" measureFilter="1" sortType="ascending">
      <items count="52">
        <item x="15"/>
        <item x="21"/>
        <item x="22"/>
        <item x="8"/>
        <item x="46"/>
        <item x="35"/>
        <item x="39"/>
        <item x="6"/>
        <item x="18"/>
        <item x="27"/>
        <item x="31"/>
        <item x="50"/>
        <item x="42"/>
        <item x="4"/>
        <item x="3"/>
        <item x="26"/>
        <item x="45"/>
        <item x="34"/>
        <item x="16"/>
        <item x="1"/>
        <item x="19"/>
        <item x="47"/>
        <item x="28"/>
        <item x="36"/>
        <item x="13"/>
        <item x="30"/>
        <item x="23"/>
        <item x="49"/>
        <item x="41"/>
        <item x="0"/>
        <item x="9"/>
        <item x="17"/>
        <item x="5"/>
        <item x="38"/>
        <item x="33"/>
        <item x="25"/>
        <item x="44"/>
        <item x="14"/>
        <item x="11"/>
        <item x="48"/>
        <item x="20"/>
        <item x="2"/>
        <item x="40"/>
        <item x="29"/>
        <item x="12"/>
        <item x="7"/>
        <item x="32"/>
        <item x="43"/>
        <item x="37"/>
        <item x="24"/>
        <item x="10"/>
        <item t="default"/>
      </items>
      <autoSortScope>
        <pivotArea dataOnly="0" outline="0" fieldPosition="0">
          <references count="1">
            <reference field="4294967294" count="1" selected="0">
              <x v="0"/>
            </reference>
          </references>
        </pivotArea>
      </autoSortScope>
    </pivotField>
    <pivotField compact="0" numFmtId="14" outline="0" showAll="0"/>
    <pivotField compact="0" outline="0" showAll="0"/>
    <pivotField compact="0" outline="0" showAll="0"/>
    <pivotField compact="0" outline="0" showAll="0">
      <items count="8">
        <item x="6"/>
        <item x="0"/>
        <item x="1"/>
        <item x="2"/>
        <item x="3"/>
        <item x="4"/>
        <item x="5"/>
        <item t="default"/>
      </items>
    </pivotField>
    <pivotField compact="0" numFmtId="2" outline="0" showAll="0"/>
    <pivotField compact="0" numFmtId="2" outline="0" showAll="0"/>
    <pivotField compact="0" numFmtId="2" outline="0" showAll="0"/>
    <pivotField dataField="1" compact="0" numFmtId="2"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2"/>
  </rowFields>
  <rowItems count="6">
    <i>
      <x v="19"/>
    </i>
    <i>
      <x v="37"/>
    </i>
    <i>
      <x v="10"/>
    </i>
    <i>
      <x v="3"/>
    </i>
    <i>
      <x v="29"/>
    </i>
    <i t="grand">
      <x/>
    </i>
  </rowItems>
  <colItems count="1">
    <i/>
  </colItems>
  <dataFields count="1">
    <dataField name="Sum of Total (USD)" fld="10" baseField="0" baseItem="0" numFmtId="2"/>
  </dataFields>
  <pivotTableStyleInfo name="PivotStyleMedium9" showRowHeaders="1" showColHeaders="1" showRowStripes="0" showColStripes="0" showLastColumn="1"/>
  <filters count="1">
    <filter fld="2"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500-000016000000}" name="PivotTable1" cacheId="33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1:E53" firstHeaderRow="0" firstDataRow="1" firstDataCol="1"/>
  <pivotFields count="13">
    <pivotField dataField="1" compact="0" outline="0" showAll="0"/>
    <pivotField dataField="1" compact="0" numFmtId="14" outline="0"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axis="axisRow" compact="0" outline="0" showAll="0">
      <items count="52">
        <item x="15"/>
        <item x="21"/>
        <item x="22"/>
        <item x="8"/>
        <item x="46"/>
        <item x="35"/>
        <item x="39"/>
        <item x="6"/>
        <item x="18"/>
        <item x="27"/>
        <item x="31"/>
        <item x="50"/>
        <item x="42"/>
        <item x="4"/>
        <item x="3"/>
        <item x="26"/>
        <item x="45"/>
        <item x="34"/>
        <item x="16"/>
        <item x="1"/>
        <item x="19"/>
        <item x="47"/>
        <item x="28"/>
        <item x="36"/>
        <item x="13"/>
        <item x="30"/>
        <item x="23"/>
        <item x="49"/>
        <item x="41"/>
        <item x="0"/>
        <item x="9"/>
        <item x="17"/>
        <item x="5"/>
        <item x="38"/>
        <item x="33"/>
        <item x="25"/>
        <item x="44"/>
        <item x="14"/>
        <item x="11"/>
        <item x="48"/>
        <item x="20"/>
        <item x="2"/>
        <item x="40"/>
        <item x="29"/>
        <item x="12"/>
        <item x="7"/>
        <item x="32"/>
        <item x="43"/>
        <item x="37"/>
        <item x="24"/>
        <item x="10"/>
        <item t="default"/>
      </items>
    </pivotField>
    <pivotField dataField="1" compact="0" numFmtId="14" outline="0" showAll="0"/>
    <pivotField compact="0" outline="0" showAll="0"/>
    <pivotField compact="0" outline="0" showAll="0"/>
    <pivotField compact="0" outline="0" showAll="0">
      <items count="8">
        <item x="6"/>
        <item x="0"/>
        <item x="1"/>
        <item x="2"/>
        <item x="3"/>
        <item x="4"/>
        <item x="5"/>
        <item t="default"/>
      </items>
    </pivotField>
    <pivotField compact="0" numFmtId="2" outline="0" showAll="0"/>
    <pivotField compact="0" numFmtId="2" outline="0" showAll="0"/>
    <pivotField compact="0" numFmtId="2" outline="0" showAll="0"/>
    <pivotField dataField="1" compact="0" numFmtId="2" outline="0" showAll="0"/>
    <pivotField compact="0" outline="0" showAll="0" defaultSubtotal="0"/>
    <pivotField compact="0" outline="0" showAll="0" defaultSubtotal="0">
      <items count="14">
        <item x="0"/>
        <item x="1"/>
        <item x="2"/>
        <item x="3"/>
        <item x="4"/>
        <item x="5"/>
        <item x="6"/>
        <item x="7"/>
        <item x="8"/>
        <item x="9"/>
        <item x="10"/>
        <item x="11"/>
        <item x="12"/>
        <item x="13"/>
      </items>
    </pivotField>
  </pivotFields>
  <rowFields count="1">
    <field x="2"/>
  </rowFields>
  <rowItems count="5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t="grand">
      <x/>
    </i>
  </rowItems>
  <colFields count="1">
    <field x="-2"/>
  </colFields>
  <colItems count="4">
    <i>
      <x/>
    </i>
    <i i="1">
      <x v="1"/>
    </i>
    <i i="2">
      <x v="2"/>
    </i>
    <i i="3">
      <x v="3"/>
    </i>
  </colItems>
  <dataFields count="4">
    <dataField name="Monetary" fld="10" baseField="0" baseItem="0" numFmtId="2"/>
    <dataField name="Frequency" fld="0" subtotal="count" baseField="0" baseItem="0"/>
    <dataField name="Last  Shipping  Date" fld="3" subtotal="max" baseField="0" baseItem="0" numFmtId="14"/>
    <dataField name="Last Order Date" fld="1" subtotal="max" baseField="0" baseItem="0" numFmtId="14"/>
  </dataFields>
  <chartFormats count="416">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2" count="1" selected="0">
            <x v="0"/>
          </reference>
        </references>
      </pivotArea>
    </chartFormat>
    <chartFormat chart="1" format="6">
      <pivotArea type="data" outline="0" fieldPosition="0">
        <references count="2">
          <reference field="4294967294" count="1" selected="0">
            <x v="0"/>
          </reference>
          <reference field="2" count="1" selected="0">
            <x v="1"/>
          </reference>
        </references>
      </pivotArea>
    </chartFormat>
    <chartFormat chart="1" format="7">
      <pivotArea type="data" outline="0" fieldPosition="0">
        <references count="2">
          <reference field="4294967294" count="1" selected="0">
            <x v="0"/>
          </reference>
          <reference field="2" count="1" selected="0">
            <x v="2"/>
          </reference>
        </references>
      </pivotArea>
    </chartFormat>
    <chartFormat chart="1" format="8">
      <pivotArea type="data" outline="0" fieldPosition="0">
        <references count="2">
          <reference field="4294967294" count="1" selected="0">
            <x v="0"/>
          </reference>
          <reference field="2" count="1" selected="0">
            <x v="3"/>
          </reference>
        </references>
      </pivotArea>
    </chartFormat>
    <chartFormat chart="1" format="9">
      <pivotArea type="data" outline="0" fieldPosition="0">
        <references count="2">
          <reference field="4294967294" count="1" selected="0">
            <x v="0"/>
          </reference>
          <reference field="2" count="1" selected="0">
            <x v="4"/>
          </reference>
        </references>
      </pivotArea>
    </chartFormat>
    <chartFormat chart="1" format="10">
      <pivotArea type="data" outline="0" fieldPosition="0">
        <references count="2">
          <reference field="4294967294" count="1" selected="0">
            <x v="0"/>
          </reference>
          <reference field="2" count="1" selected="0">
            <x v="5"/>
          </reference>
        </references>
      </pivotArea>
    </chartFormat>
    <chartFormat chart="1" format="11">
      <pivotArea type="data" outline="0" fieldPosition="0">
        <references count="2">
          <reference field="4294967294" count="1" selected="0">
            <x v="0"/>
          </reference>
          <reference field="2" count="1" selected="0">
            <x v="6"/>
          </reference>
        </references>
      </pivotArea>
    </chartFormat>
    <chartFormat chart="1" format="12">
      <pivotArea type="data" outline="0" fieldPosition="0">
        <references count="2">
          <reference field="4294967294" count="1" selected="0">
            <x v="0"/>
          </reference>
          <reference field="2" count="1" selected="0">
            <x v="7"/>
          </reference>
        </references>
      </pivotArea>
    </chartFormat>
    <chartFormat chart="1" format="13">
      <pivotArea type="data" outline="0" fieldPosition="0">
        <references count="2">
          <reference field="4294967294" count="1" selected="0">
            <x v="0"/>
          </reference>
          <reference field="2" count="1" selected="0">
            <x v="8"/>
          </reference>
        </references>
      </pivotArea>
    </chartFormat>
    <chartFormat chart="1" format="14">
      <pivotArea type="data" outline="0" fieldPosition="0">
        <references count="2">
          <reference field="4294967294" count="1" selected="0">
            <x v="0"/>
          </reference>
          <reference field="2" count="1" selected="0">
            <x v="9"/>
          </reference>
        </references>
      </pivotArea>
    </chartFormat>
    <chartFormat chart="1" format="15">
      <pivotArea type="data" outline="0" fieldPosition="0">
        <references count="2">
          <reference field="4294967294" count="1" selected="0">
            <x v="0"/>
          </reference>
          <reference field="2" count="1" selected="0">
            <x v="10"/>
          </reference>
        </references>
      </pivotArea>
    </chartFormat>
    <chartFormat chart="1" format="16">
      <pivotArea type="data" outline="0" fieldPosition="0">
        <references count="2">
          <reference field="4294967294" count="1" selected="0">
            <x v="0"/>
          </reference>
          <reference field="2" count="1" selected="0">
            <x v="11"/>
          </reference>
        </references>
      </pivotArea>
    </chartFormat>
    <chartFormat chart="1" format="17">
      <pivotArea type="data" outline="0" fieldPosition="0">
        <references count="2">
          <reference field="4294967294" count="1" selected="0">
            <x v="0"/>
          </reference>
          <reference field="2" count="1" selected="0">
            <x v="12"/>
          </reference>
        </references>
      </pivotArea>
    </chartFormat>
    <chartFormat chart="1" format="18">
      <pivotArea type="data" outline="0" fieldPosition="0">
        <references count="2">
          <reference field="4294967294" count="1" selected="0">
            <x v="0"/>
          </reference>
          <reference field="2" count="1" selected="0">
            <x v="13"/>
          </reference>
        </references>
      </pivotArea>
    </chartFormat>
    <chartFormat chart="1" format="19">
      <pivotArea type="data" outline="0" fieldPosition="0">
        <references count="2">
          <reference field="4294967294" count="1" selected="0">
            <x v="0"/>
          </reference>
          <reference field="2" count="1" selected="0">
            <x v="14"/>
          </reference>
        </references>
      </pivotArea>
    </chartFormat>
    <chartFormat chart="1" format="20">
      <pivotArea type="data" outline="0" fieldPosition="0">
        <references count="2">
          <reference field="4294967294" count="1" selected="0">
            <x v="0"/>
          </reference>
          <reference field="2" count="1" selected="0">
            <x v="15"/>
          </reference>
        </references>
      </pivotArea>
    </chartFormat>
    <chartFormat chart="1" format="21">
      <pivotArea type="data" outline="0" fieldPosition="0">
        <references count="2">
          <reference field="4294967294" count="1" selected="0">
            <x v="0"/>
          </reference>
          <reference field="2" count="1" selected="0">
            <x v="16"/>
          </reference>
        </references>
      </pivotArea>
    </chartFormat>
    <chartFormat chart="1" format="22">
      <pivotArea type="data" outline="0" fieldPosition="0">
        <references count="2">
          <reference field="4294967294" count="1" selected="0">
            <x v="0"/>
          </reference>
          <reference field="2" count="1" selected="0">
            <x v="17"/>
          </reference>
        </references>
      </pivotArea>
    </chartFormat>
    <chartFormat chart="1" format="23">
      <pivotArea type="data" outline="0" fieldPosition="0">
        <references count="2">
          <reference field="4294967294" count="1" selected="0">
            <x v="0"/>
          </reference>
          <reference field="2" count="1" selected="0">
            <x v="18"/>
          </reference>
        </references>
      </pivotArea>
    </chartFormat>
    <chartFormat chart="1" format="24">
      <pivotArea type="data" outline="0" fieldPosition="0">
        <references count="2">
          <reference field="4294967294" count="1" selected="0">
            <x v="0"/>
          </reference>
          <reference field="2" count="1" selected="0">
            <x v="19"/>
          </reference>
        </references>
      </pivotArea>
    </chartFormat>
    <chartFormat chart="1" format="25">
      <pivotArea type="data" outline="0" fieldPosition="0">
        <references count="2">
          <reference field="4294967294" count="1" selected="0">
            <x v="0"/>
          </reference>
          <reference field="2" count="1" selected="0">
            <x v="20"/>
          </reference>
        </references>
      </pivotArea>
    </chartFormat>
    <chartFormat chart="1" format="26">
      <pivotArea type="data" outline="0" fieldPosition="0">
        <references count="2">
          <reference field="4294967294" count="1" selected="0">
            <x v="0"/>
          </reference>
          <reference field="2" count="1" selected="0">
            <x v="21"/>
          </reference>
        </references>
      </pivotArea>
    </chartFormat>
    <chartFormat chart="1" format="27">
      <pivotArea type="data" outline="0" fieldPosition="0">
        <references count="2">
          <reference field="4294967294" count="1" selected="0">
            <x v="0"/>
          </reference>
          <reference field="2" count="1" selected="0">
            <x v="22"/>
          </reference>
        </references>
      </pivotArea>
    </chartFormat>
    <chartFormat chart="1" format="28">
      <pivotArea type="data" outline="0" fieldPosition="0">
        <references count="2">
          <reference field="4294967294" count="1" selected="0">
            <x v="0"/>
          </reference>
          <reference field="2" count="1" selected="0">
            <x v="23"/>
          </reference>
        </references>
      </pivotArea>
    </chartFormat>
    <chartFormat chart="1" format="29">
      <pivotArea type="data" outline="0" fieldPosition="0">
        <references count="2">
          <reference field="4294967294" count="1" selected="0">
            <x v="0"/>
          </reference>
          <reference field="2" count="1" selected="0">
            <x v="24"/>
          </reference>
        </references>
      </pivotArea>
    </chartFormat>
    <chartFormat chart="1" format="30">
      <pivotArea type="data" outline="0" fieldPosition="0">
        <references count="2">
          <reference field="4294967294" count="1" selected="0">
            <x v="0"/>
          </reference>
          <reference field="2" count="1" selected="0">
            <x v="25"/>
          </reference>
        </references>
      </pivotArea>
    </chartFormat>
    <chartFormat chart="1" format="31">
      <pivotArea type="data" outline="0" fieldPosition="0">
        <references count="2">
          <reference field="4294967294" count="1" selected="0">
            <x v="0"/>
          </reference>
          <reference field="2" count="1" selected="0">
            <x v="26"/>
          </reference>
        </references>
      </pivotArea>
    </chartFormat>
    <chartFormat chart="1" format="32">
      <pivotArea type="data" outline="0" fieldPosition="0">
        <references count="2">
          <reference field="4294967294" count="1" selected="0">
            <x v="0"/>
          </reference>
          <reference field="2" count="1" selected="0">
            <x v="27"/>
          </reference>
        </references>
      </pivotArea>
    </chartFormat>
    <chartFormat chart="1" format="33">
      <pivotArea type="data" outline="0" fieldPosition="0">
        <references count="2">
          <reference field="4294967294" count="1" selected="0">
            <x v="0"/>
          </reference>
          <reference field="2" count="1" selected="0">
            <x v="28"/>
          </reference>
        </references>
      </pivotArea>
    </chartFormat>
    <chartFormat chart="1" format="34">
      <pivotArea type="data" outline="0" fieldPosition="0">
        <references count="2">
          <reference field="4294967294" count="1" selected="0">
            <x v="0"/>
          </reference>
          <reference field="2" count="1" selected="0">
            <x v="29"/>
          </reference>
        </references>
      </pivotArea>
    </chartFormat>
    <chartFormat chart="1" format="35">
      <pivotArea type="data" outline="0" fieldPosition="0">
        <references count="2">
          <reference field="4294967294" count="1" selected="0">
            <x v="0"/>
          </reference>
          <reference field="2" count="1" selected="0">
            <x v="30"/>
          </reference>
        </references>
      </pivotArea>
    </chartFormat>
    <chartFormat chart="1" format="36">
      <pivotArea type="data" outline="0" fieldPosition="0">
        <references count="2">
          <reference field="4294967294" count="1" selected="0">
            <x v="0"/>
          </reference>
          <reference field="2" count="1" selected="0">
            <x v="31"/>
          </reference>
        </references>
      </pivotArea>
    </chartFormat>
    <chartFormat chart="1" format="37">
      <pivotArea type="data" outline="0" fieldPosition="0">
        <references count="2">
          <reference field="4294967294" count="1" selected="0">
            <x v="0"/>
          </reference>
          <reference field="2" count="1" selected="0">
            <x v="32"/>
          </reference>
        </references>
      </pivotArea>
    </chartFormat>
    <chartFormat chart="1" format="38">
      <pivotArea type="data" outline="0" fieldPosition="0">
        <references count="2">
          <reference field="4294967294" count="1" selected="0">
            <x v="0"/>
          </reference>
          <reference field="2" count="1" selected="0">
            <x v="33"/>
          </reference>
        </references>
      </pivotArea>
    </chartFormat>
    <chartFormat chart="1" format="39">
      <pivotArea type="data" outline="0" fieldPosition="0">
        <references count="2">
          <reference field="4294967294" count="1" selected="0">
            <x v="0"/>
          </reference>
          <reference field="2" count="1" selected="0">
            <x v="34"/>
          </reference>
        </references>
      </pivotArea>
    </chartFormat>
    <chartFormat chart="1" format="40">
      <pivotArea type="data" outline="0" fieldPosition="0">
        <references count="2">
          <reference field="4294967294" count="1" selected="0">
            <x v="0"/>
          </reference>
          <reference field="2" count="1" selected="0">
            <x v="35"/>
          </reference>
        </references>
      </pivotArea>
    </chartFormat>
    <chartFormat chart="1" format="41">
      <pivotArea type="data" outline="0" fieldPosition="0">
        <references count="2">
          <reference field="4294967294" count="1" selected="0">
            <x v="0"/>
          </reference>
          <reference field="2" count="1" selected="0">
            <x v="36"/>
          </reference>
        </references>
      </pivotArea>
    </chartFormat>
    <chartFormat chart="1" format="42">
      <pivotArea type="data" outline="0" fieldPosition="0">
        <references count="2">
          <reference field="4294967294" count="1" selected="0">
            <x v="0"/>
          </reference>
          <reference field="2" count="1" selected="0">
            <x v="37"/>
          </reference>
        </references>
      </pivotArea>
    </chartFormat>
    <chartFormat chart="1" format="43">
      <pivotArea type="data" outline="0" fieldPosition="0">
        <references count="2">
          <reference field="4294967294" count="1" selected="0">
            <x v="0"/>
          </reference>
          <reference field="2" count="1" selected="0">
            <x v="38"/>
          </reference>
        </references>
      </pivotArea>
    </chartFormat>
    <chartFormat chart="1" format="44">
      <pivotArea type="data" outline="0" fieldPosition="0">
        <references count="2">
          <reference field="4294967294" count="1" selected="0">
            <x v="0"/>
          </reference>
          <reference field="2" count="1" selected="0">
            <x v="39"/>
          </reference>
        </references>
      </pivotArea>
    </chartFormat>
    <chartFormat chart="1" format="45">
      <pivotArea type="data" outline="0" fieldPosition="0">
        <references count="2">
          <reference field="4294967294" count="1" selected="0">
            <x v="0"/>
          </reference>
          <reference field="2" count="1" selected="0">
            <x v="40"/>
          </reference>
        </references>
      </pivotArea>
    </chartFormat>
    <chartFormat chart="1" format="46">
      <pivotArea type="data" outline="0" fieldPosition="0">
        <references count="2">
          <reference field="4294967294" count="1" selected="0">
            <x v="0"/>
          </reference>
          <reference field="2" count="1" selected="0">
            <x v="41"/>
          </reference>
        </references>
      </pivotArea>
    </chartFormat>
    <chartFormat chart="1" format="47">
      <pivotArea type="data" outline="0" fieldPosition="0">
        <references count="2">
          <reference field="4294967294" count="1" selected="0">
            <x v="0"/>
          </reference>
          <reference field="2" count="1" selected="0">
            <x v="42"/>
          </reference>
        </references>
      </pivotArea>
    </chartFormat>
    <chartFormat chart="1" format="48">
      <pivotArea type="data" outline="0" fieldPosition="0">
        <references count="2">
          <reference field="4294967294" count="1" selected="0">
            <x v="0"/>
          </reference>
          <reference field="2" count="1" selected="0">
            <x v="43"/>
          </reference>
        </references>
      </pivotArea>
    </chartFormat>
    <chartFormat chart="1" format="49">
      <pivotArea type="data" outline="0" fieldPosition="0">
        <references count="2">
          <reference field="4294967294" count="1" selected="0">
            <x v="0"/>
          </reference>
          <reference field="2" count="1" selected="0">
            <x v="44"/>
          </reference>
        </references>
      </pivotArea>
    </chartFormat>
    <chartFormat chart="1" format="50">
      <pivotArea type="data" outline="0" fieldPosition="0">
        <references count="2">
          <reference field="4294967294" count="1" selected="0">
            <x v="0"/>
          </reference>
          <reference field="2" count="1" selected="0">
            <x v="45"/>
          </reference>
        </references>
      </pivotArea>
    </chartFormat>
    <chartFormat chart="1" format="51">
      <pivotArea type="data" outline="0" fieldPosition="0">
        <references count="2">
          <reference field="4294967294" count="1" selected="0">
            <x v="0"/>
          </reference>
          <reference field="2" count="1" selected="0">
            <x v="46"/>
          </reference>
        </references>
      </pivotArea>
    </chartFormat>
    <chartFormat chart="1" format="52">
      <pivotArea type="data" outline="0" fieldPosition="0">
        <references count="2">
          <reference field="4294967294" count="1" selected="0">
            <x v="0"/>
          </reference>
          <reference field="2" count="1" selected="0">
            <x v="47"/>
          </reference>
        </references>
      </pivotArea>
    </chartFormat>
    <chartFormat chart="1" format="53">
      <pivotArea type="data" outline="0" fieldPosition="0">
        <references count="2">
          <reference field="4294967294" count="1" selected="0">
            <x v="0"/>
          </reference>
          <reference field="2" count="1" selected="0">
            <x v="48"/>
          </reference>
        </references>
      </pivotArea>
    </chartFormat>
    <chartFormat chart="1" format="54">
      <pivotArea type="data" outline="0" fieldPosition="0">
        <references count="2">
          <reference field="4294967294" count="1" selected="0">
            <x v="0"/>
          </reference>
          <reference field="2" count="1" selected="0">
            <x v="49"/>
          </reference>
        </references>
      </pivotArea>
    </chartFormat>
    <chartFormat chart="1" format="55">
      <pivotArea type="data" outline="0" fieldPosition="0">
        <references count="2">
          <reference field="4294967294" count="1" selected="0">
            <x v="0"/>
          </reference>
          <reference field="2" count="1" selected="0">
            <x v="50"/>
          </reference>
        </references>
      </pivotArea>
    </chartFormat>
    <chartFormat chart="1" format="56" series="1">
      <pivotArea type="data" outline="0" fieldPosition="0">
        <references count="1">
          <reference field="4294967294" count="1" selected="0">
            <x v="1"/>
          </reference>
        </references>
      </pivotArea>
    </chartFormat>
    <chartFormat chart="1" format="57">
      <pivotArea type="data" outline="0" fieldPosition="0">
        <references count="2">
          <reference field="4294967294" count="1" selected="0">
            <x v="1"/>
          </reference>
          <reference field="2" count="1" selected="0">
            <x v="0"/>
          </reference>
        </references>
      </pivotArea>
    </chartFormat>
    <chartFormat chart="1" format="58">
      <pivotArea type="data" outline="0" fieldPosition="0">
        <references count="2">
          <reference field="4294967294" count="1" selected="0">
            <x v="1"/>
          </reference>
          <reference field="2" count="1" selected="0">
            <x v="1"/>
          </reference>
        </references>
      </pivotArea>
    </chartFormat>
    <chartFormat chart="1" format="59">
      <pivotArea type="data" outline="0" fieldPosition="0">
        <references count="2">
          <reference field="4294967294" count="1" selected="0">
            <x v="1"/>
          </reference>
          <reference field="2" count="1" selected="0">
            <x v="2"/>
          </reference>
        </references>
      </pivotArea>
    </chartFormat>
    <chartFormat chart="1" format="60">
      <pivotArea type="data" outline="0" fieldPosition="0">
        <references count="2">
          <reference field="4294967294" count="1" selected="0">
            <x v="1"/>
          </reference>
          <reference field="2" count="1" selected="0">
            <x v="3"/>
          </reference>
        </references>
      </pivotArea>
    </chartFormat>
    <chartFormat chart="1" format="61">
      <pivotArea type="data" outline="0" fieldPosition="0">
        <references count="2">
          <reference field="4294967294" count="1" selected="0">
            <x v="1"/>
          </reference>
          <reference field="2" count="1" selected="0">
            <x v="4"/>
          </reference>
        </references>
      </pivotArea>
    </chartFormat>
    <chartFormat chart="1" format="62">
      <pivotArea type="data" outline="0" fieldPosition="0">
        <references count="2">
          <reference field="4294967294" count="1" selected="0">
            <x v="1"/>
          </reference>
          <reference field="2" count="1" selected="0">
            <x v="5"/>
          </reference>
        </references>
      </pivotArea>
    </chartFormat>
    <chartFormat chart="1" format="63">
      <pivotArea type="data" outline="0" fieldPosition="0">
        <references count="2">
          <reference field="4294967294" count="1" selected="0">
            <x v="1"/>
          </reference>
          <reference field="2" count="1" selected="0">
            <x v="6"/>
          </reference>
        </references>
      </pivotArea>
    </chartFormat>
    <chartFormat chart="1" format="64">
      <pivotArea type="data" outline="0" fieldPosition="0">
        <references count="2">
          <reference field="4294967294" count="1" selected="0">
            <x v="1"/>
          </reference>
          <reference field="2" count="1" selected="0">
            <x v="7"/>
          </reference>
        </references>
      </pivotArea>
    </chartFormat>
    <chartFormat chart="1" format="65">
      <pivotArea type="data" outline="0" fieldPosition="0">
        <references count="2">
          <reference field="4294967294" count="1" selected="0">
            <x v="1"/>
          </reference>
          <reference field="2" count="1" selected="0">
            <x v="8"/>
          </reference>
        </references>
      </pivotArea>
    </chartFormat>
    <chartFormat chart="1" format="66">
      <pivotArea type="data" outline="0" fieldPosition="0">
        <references count="2">
          <reference field="4294967294" count="1" selected="0">
            <x v="1"/>
          </reference>
          <reference field="2" count="1" selected="0">
            <x v="9"/>
          </reference>
        </references>
      </pivotArea>
    </chartFormat>
    <chartFormat chart="1" format="67">
      <pivotArea type="data" outline="0" fieldPosition="0">
        <references count="2">
          <reference field="4294967294" count="1" selected="0">
            <x v="1"/>
          </reference>
          <reference field="2" count="1" selected="0">
            <x v="10"/>
          </reference>
        </references>
      </pivotArea>
    </chartFormat>
    <chartFormat chart="1" format="68">
      <pivotArea type="data" outline="0" fieldPosition="0">
        <references count="2">
          <reference field="4294967294" count="1" selected="0">
            <x v="1"/>
          </reference>
          <reference field="2" count="1" selected="0">
            <x v="11"/>
          </reference>
        </references>
      </pivotArea>
    </chartFormat>
    <chartFormat chart="1" format="69">
      <pivotArea type="data" outline="0" fieldPosition="0">
        <references count="2">
          <reference field="4294967294" count="1" selected="0">
            <x v="1"/>
          </reference>
          <reference field="2" count="1" selected="0">
            <x v="12"/>
          </reference>
        </references>
      </pivotArea>
    </chartFormat>
    <chartFormat chart="1" format="70">
      <pivotArea type="data" outline="0" fieldPosition="0">
        <references count="2">
          <reference field="4294967294" count="1" selected="0">
            <x v="1"/>
          </reference>
          <reference field="2" count="1" selected="0">
            <x v="13"/>
          </reference>
        </references>
      </pivotArea>
    </chartFormat>
    <chartFormat chart="1" format="71">
      <pivotArea type="data" outline="0" fieldPosition="0">
        <references count="2">
          <reference field="4294967294" count="1" selected="0">
            <x v="1"/>
          </reference>
          <reference field="2" count="1" selected="0">
            <x v="14"/>
          </reference>
        </references>
      </pivotArea>
    </chartFormat>
    <chartFormat chart="1" format="72">
      <pivotArea type="data" outline="0" fieldPosition="0">
        <references count="2">
          <reference field="4294967294" count="1" selected="0">
            <x v="1"/>
          </reference>
          <reference field="2" count="1" selected="0">
            <x v="15"/>
          </reference>
        </references>
      </pivotArea>
    </chartFormat>
    <chartFormat chart="1" format="73">
      <pivotArea type="data" outline="0" fieldPosition="0">
        <references count="2">
          <reference field="4294967294" count="1" selected="0">
            <x v="1"/>
          </reference>
          <reference field="2" count="1" selected="0">
            <x v="16"/>
          </reference>
        </references>
      </pivotArea>
    </chartFormat>
    <chartFormat chart="1" format="74">
      <pivotArea type="data" outline="0" fieldPosition="0">
        <references count="2">
          <reference field="4294967294" count="1" selected="0">
            <x v="1"/>
          </reference>
          <reference field="2" count="1" selected="0">
            <x v="17"/>
          </reference>
        </references>
      </pivotArea>
    </chartFormat>
    <chartFormat chart="1" format="75">
      <pivotArea type="data" outline="0" fieldPosition="0">
        <references count="2">
          <reference field="4294967294" count="1" selected="0">
            <x v="1"/>
          </reference>
          <reference field="2" count="1" selected="0">
            <x v="18"/>
          </reference>
        </references>
      </pivotArea>
    </chartFormat>
    <chartFormat chart="1" format="76">
      <pivotArea type="data" outline="0" fieldPosition="0">
        <references count="2">
          <reference field="4294967294" count="1" selected="0">
            <x v="1"/>
          </reference>
          <reference field="2" count="1" selected="0">
            <x v="19"/>
          </reference>
        </references>
      </pivotArea>
    </chartFormat>
    <chartFormat chart="1" format="77">
      <pivotArea type="data" outline="0" fieldPosition="0">
        <references count="2">
          <reference field="4294967294" count="1" selected="0">
            <x v="1"/>
          </reference>
          <reference field="2" count="1" selected="0">
            <x v="20"/>
          </reference>
        </references>
      </pivotArea>
    </chartFormat>
    <chartFormat chart="1" format="78">
      <pivotArea type="data" outline="0" fieldPosition="0">
        <references count="2">
          <reference field="4294967294" count="1" selected="0">
            <x v="1"/>
          </reference>
          <reference field="2" count="1" selected="0">
            <x v="21"/>
          </reference>
        </references>
      </pivotArea>
    </chartFormat>
    <chartFormat chart="1" format="79">
      <pivotArea type="data" outline="0" fieldPosition="0">
        <references count="2">
          <reference field="4294967294" count="1" selected="0">
            <x v="1"/>
          </reference>
          <reference field="2" count="1" selected="0">
            <x v="22"/>
          </reference>
        </references>
      </pivotArea>
    </chartFormat>
    <chartFormat chart="1" format="80">
      <pivotArea type="data" outline="0" fieldPosition="0">
        <references count="2">
          <reference field="4294967294" count="1" selected="0">
            <x v="1"/>
          </reference>
          <reference field="2" count="1" selected="0">
            <x v="23"/>
          </reference>
        </references>
      </pivotArea>
    </chartFormat>
    <chartFormat chart="1" format="81">
      <pivotArea type="data" outline="0" fieldPosition="0">
        <references count="2">
          <reference field="4294967294" count="1" selected="0">
            <x v="1"/>
          </reference>
          <reference field="2" count="1" selected="0">
            <x v="24"/>
          </reference>
        </references>
      </pivotArea>
    </chartFormat>
    <chartFormat chart="1" format="82">
      <pivotArea type="data" outline="0" fieldPosition="0">
        <references count="2">
          <reference field="4294967294" count="1" selected="0">
            <x v="1"/>
          </reference>
          <reference field="2" count="1" selected="0">
            <x v="25"/>
          </reference>
        </references>
      </pivotArea>
    </chartFormat>
    <chartFormat chart="1" format="83">
      <pivotArea type="data" outline="0" fieldPosition="0">
        <references count="2">
          <reference field="4294967294" count="1" selected="0">
            <x v="1"/>
          </reference>
          <reference field="2" count="1" selected="0">
            <x v="26"/>
          </reference>
        </references>
      </pivotArea>
    </chartFormat>
    <chartFormat chart="1" format="84">
      <pivotArea type="data" outline="0" fieldPosition="0">
        <references count="2">
          <reference field="4294967294" count="1" selected="0">
            <x v="1"/>
          </reference>
          <reference field="2" count="1" selected="0">
            <x v="27"/>
          </reference>
        </references>
      </pivotArea>
    </chartFormat>
    <chartFormat chart="1" format="85">
      <pivotArea type="data" outline="0" fieldPosition="0">
        <references count="2">
          <reference field="4294967294" count="1" selected="0">
            <x v="1"/>
          </reference>
          <reference field="2" count="1" selected="0">
            <x v="28"/>
          </reference>
        </references>
      </pivotArea>
    </chartFormat>
    <chartFormat chart="1" format="86">
      <pivotArea type="data" outline="0" fieldPosition="0">
        <references count="2">
          <reference field="4294967294" count="1" selected="0">
            <x v="1"/>
          </reference>
          <reference field="2" count="1" selected="0">
            <x v="29"/>
          </reference>
        </references>
      </pivotArea>
    </chartFormat>
    <chartFormat chart="1" format="87">
      <pivotArea type="data" outline="0" fieldPosition="0">
        <references count="2">
          <reference field="4294967294" count="1" selected="0">
            <x v="1"/>
          </reference>
          <reference field="2" count="1" selected="0">
            <x v="30"/>
          </reference>
        </references>
      </pivotArea>
    </chartFormat>
    <chartFormat chart="1" format="88">
      <pivotArea type="data" outline="0" fieldPosition="0">
        <references count="2">
          <reference field="4294967294" count="1" selected="0">
            <x v="1"/>
          </reference>
          <reference field="2" count="1" selected="0">
            <x v="31"/>
          </reference>
        </references>
      </pivotArea>
    </chartFormat>
    <chartFormat chart="1" format="89">
      <pivotArea type="data" outline="0" fieldPosition="0">
        <references count="2">
          <reference field="4294967294" count="1" selected="0">
            <x v="1"/>
          </reference>
          <reference field="2" count="1" selected="0">
            <x v="32"/>
          </reference>
        </references>
      </pivotArea>
    </chartFormat>
    <chartFormat chart="1" format="90">
      <pivotArea type="data" outline="0" fieldPosition="0">
        <references count="2">
          <reference field="4294967294" count="1" selected="0">
            <x v="1"/>
          </reference>
          <reference field="2" count="1" selected="0">
            <x v="33"/>
          </reference>
        </references>
      </pivotArea>
    </chartFormat>
    <chartFormat chart="1" format="91">
      <pivotArea type="data" outline="0" fieldPosition="0">
        <references count="2">
          <reference field="4294967294" count="1" selected="0">
            <x v="1"/>
          </reference>
          <reference field="2" count="1" selected="0">
            <x v="34"/>
          </reference>
        </references>
      </pivotArea>
    </chartFormat>
    <chartFormat chart="1" format="92">
      <pivotArea type="data" outline="0" fieldPosition="0">
        <references count="2">
          <reference field="4294967294" count="1" selected="0">
            <x v="1"/>
          </reference>
          <reference field="2" count="1" selected="0">
            <x v="35"/>
          </reference>
        </references>
      </pivotArea>
    </chartFormat>
    <chartFormat chart="1" format="93">
      <pivotArea type="data" outline="0" fieldPosition="0">
        <references count="2">
          <reference field="4294967294" count="1" selected="0">
            <x v="1"/>
          </reference>
          <reference field="2" count="1" selected="0">
            <x v="36"/>
          </reference>
        </references>
      </pivotArea>
    </chartFormat>
    <chartFormat chart="1" format="94">
      <pivotArea type="data" outline="0" fieldPosition="0">
        <references count="2">
          <reference field="4294967294" count="1" selected="0">
            <x v="1"/>
          </reference>
          <reference field="2" count="1" selected="0">
            <x v="37"/>
          </reference>
        </references>
      </pivotArea>
    </chartFormat>
    <chartFormat chart="1" format="95">
      <pivotArea type="data" outline="0" fieldPosition="0">
        <references count="2">
          <reference field="4294967294" count="1" selected="0">
            <x v="1"/>
          </reference>
          <reference field="2" count="1" selected="0">
            <x v="38"/>
          </reference>
        </references>
      </pivotArea>
    </chartFormat>
    <chartFormat chart="1" format="96">
      <pivotArea type="data" outline="0" fieldPosition="0">
        <references count="2">
          <reference field="4294967294" count="1" selected="0">
            <x v="1"/>
          </reference>
          <reference field="2" count="1" selected="0">
            <x v="39"/>
          </reference>
        </references>
      </pivotArea>
    </chartFormat>
    <chartFormat chart="1" format="97">
      <pivotArea type="data" outline="0" fieldPosition="0">
        <references count="2">
          <reference field="4294967294" count="1" selected="0">
            <x v="1"/>
          </reference>
          <reference field="2" count="1" selected="0">
            <x v="40"/>
          </reference>
        </references>
      </pivotArea>
    </chartFormat>
    <chartFormat chart="1" format="98">
      <pivotArea type="data" outline="0" fieldPosition="0">
        <references count="2">
          <reference field="4294967294" count="1" selected="0">
            <x v="1"/>
          </reference>
          <reference field="2" count="1" selected="0">
            <x v="41"/>
          </reference>
        </references>
      </pivotArea>
    </chartFormat>
    <chartFormat chart="1" format="99">
      <pivotArea type="data" outline="0" fieldPosition="0">
        <references count="2">
          <reference field="4294967294" count="1" selected="0">
            <x v="1"/>
          </reference>
          <reference field="2" count="1" selected="0">
            <x v="42"/>
          </reference>
        </references>
      </pivotArea>
    </chartFormat>
    <chartFormat chart="1" format="100">
      <pivotArea type="data" outline="0" fieldPosition="0">
        <references count="2">
          <reference field="4294967294" count="1" selected="0">
            <x v="1"/>
          </reference>
          <reference field="2" count="1" selected="0">
            <x v="43"/>
          </reference>
        </references>
      </pivotArea>
    </chartFormat>
    <chartFormat chart="1" format="101">
      <pivotArea type="data" outline="0" fieldPosition="0">
        <references count="2">
          <reference field="4294967294" count="1" selected="0">
            <x v="1"/>
          </reference>
          <reference field="2" count="1" selected="0">
            <x v="44"/>
          </reference>
        </references>
      </pivotArea>
    </chartFormat>
    <chartFormat chart="1" format="102">
      <pivotArea type="data" outline="0" fieldPosition="0">
        <references count="2">
          <reference field="4294967294" count="1" selected="0">
            <x v="1"/>
          </reference>
          <reference field="2" count="1" selected="0">
            <x v="45"/>
          </reference>
        </references>
      </pivotArea>
    </chartFormat>
    <chartFormat chart="1" format="103">
      <pivotArea type="data" outline="0" fieldPosition="0">
        <references count="2">
          <reference field="4294967294" count="1" selected="0">
            <x v="1"/>
          </reference>
          <reference field="2" count="1" selected="0">
            <x v="46"/>
          </reference>
        </references>
      </pivotArea>
    </chartFormat>
    <chartFormat chart="1" format="104">
      <pivotArea type="data" outline="0" fieldPosition="0">
        <references count="2">
          <reference field="4294967294" count="1" selected="0">
            <x v="1"/>
          </reference>
          <reference field="2" count="1" selected="0">
            <x v="47"/>
          </reference>
        </references>
      </pivotArea>
    </chartFormat>
    <chartFormat chart="1" format="105">
      <pivotArea type="data" outline="0" fieldPosition="0">
        <references count="2">
          <reference field="4294967294" count="1" selected="0">
            <x v="1"/>
          </reference>
          <reference field="2" count="1" selected="0">
            <x v="48"/>
          </reference>
        </references>
      </pivotArea>
    </chartFormat>
    <chartFormat chart="1" format="106">
      <pivotArea type="data" outline="0" fieldPosition="0">
        <references count="2">
          <reference field="4294967294" count="1" selected="0">
            <x v="1"/>
          </reference>
          <reference field="2" count="1" selected="0">
            <x v="49"/>
          </reference>
        </references>
      </pivotArea>
    </chartFormat>
    <chartFormat chart="1" format="107">
      <pivotArea type="data" outline="0" fieldPosition="0">
        <references count="2">
          <reference field="4294967294" count="1" selected="0">
            <x v="1"/>
          </reference>
          <reference field="2" count="1" selected="0">
            <x v="50"/>
          </reference>
        </references>
      </pivotArea>
    </chartFormat>
    <chartFormat chart="1" format="108" series="1">
      <pivotArea type="data" outline="0" fieldPosition="0">
        <references count="1">
          <reference field="4294967294" count="1" selected="0">
            <x v="2"/>
          </reference>
        </references>
      </pivotArea>
    </chartFormat>
    <chartFormat chart="1" format="109">
      <pivotArea type="data" outline="0" fieldPosition="0">
        <references count="2">
          <reference field="4294967294" count="1" selected="0">
            <x v="2"/>
          </reference>
          <reference field="2" count="1" selected="0">
            <x v="0"/>
          </reference>
        </references>
      </pivotArea>
    </chartFormat>
    <chartFormat chart="1" format="110">
      <pivotArea type="data" outline="0" fieldPosition="0">
        <references count="2">
          <reference field="4294967294" count="1" selected="0">
            <x v="2"/>
          </reference>
          <reference field="2" count="1" selected="0">
            <x v="1"/>
          </reference>
        </references>
      </pivotArea>
    </chartFormat>
    <chartFormat chart="1" format="111">
      <pivotArea type="data" outline="0" fieldPosition="0">
        <references count="2">
          <reference field="4294967294" count="1" selected="0">
            <x v="2"/>
          </reference>
          <reference field="2" count="1" selected="0">
            <x v="2"/>
          </reference>
        </references>
      </pivotArea>
    </chartFormat>
    <chartFormat chart="1" format="112">
      <pivotArea type="data" outline="0" fieldPosition="0">
        <references count="2">
          <reference field="4294967294" count="1" selected="0">
            <x v="2"/>
          </reference>
          <reference field="2" count="1" selected="0">
            <x v="3"/>
          </reference>
        </references>
      </pivotArea>
    </chartFormat>
    <chartFormat chart="1" format="113">
      <pivotArea type="data" outline="0" fieldPosition="0">
        <references count="2">
          <reference field="4294967294" count="1" selected="0">
            <x v="2"/>
          </reference>
          <reference field="2" count="1" selected="0">
            <x v="4"/>
          </reference>
        </references>
      </pivotArea>
    </chartFormat>
    <chartFormat chart="1" format="114">
      <pivotArea type="data" outline="0" fieldPosition="0">
        <references count="2">
          <reference field="4294967294" count="1" selected="0">
            <x v="2"/>
          </reference>
          <reference field="2" count="1" selected="0">
            <x v="5"/>
          </reference>
        </references>
      </pivotArea>
    </chartFormat>
    <chartFormat chart="1" format="115">
      <pivotArea type="data" outline="0" fieldPosition="0">
        <references count="2">
          <reference field="4294967294" count="1" selected="0">
            <x v="2"/>
          </reference>
          <reference field="2" count="1" selected="0">
            <x v="6"/>
          </reference>
        </references>
      </pivotArea>
    </chartFormat>
    <chartFormat chart="1" format="116">
      <pivotArea type="data" outline="0" fieldPosition="0">
        <references count="2">
          <reference field="4294967294" count="1" selected="0">
            <x v="2"/>
          </reference>
          <reference field="2" count="1" selected="0">
            <x v="7"/>
          </reference>
        </references>
      </pivotArea>
    </chartFormat>
    <chartFormat chart="1" format="117">
      <pivotArea type="data" outline="0" fieldPosition="0">
        <references count="2">
          <reference field="4294967294" count="1" selected="0">
            <x v="2"/>
          </reference>
          <reference field="2" count="1" selected="0">
            <x v="8"/>
          </reference>
        </references>
      </pivotArea>
    </chartFormat>
    <chartFormat chart="1" format="118">
      <pivotArea type="data" outline="0" fieldPosition="0">
        <references count="2">
          <reference field="4294967294" count="1" selected="0">
            <x v="2"/>
          </reference>
          <reference field="2" count="1" selected="0">
            <x v="9"/>
          </reference>
        </references>
      </pivotArea>
    </chartFormat>
    <chartFormat chart="1" format="119">
      <pivotArea type="data" outline="0" fieldPosition="0">
        <references count="2">
          <reference field="4294967294" count="1" selected="0">
            <x v="2"/>
          </reference>
          <reference field="2" count="1" selected="0">
            <x v="10"/>
          </reference>
        </references>
      </pivotArea>
    </chartFormat>
    <chartFormat chart="1" format="120">
      <pivotArea type="data" outline="0" fieldPosition="0">
        <references count="2">
          <reference field="4294967294" count="1" selected="0">
            <x v="2"/>
          </reference>
          <reference field="2" count="1" selected="0">
            <x v="11"/>
          </reference>
        </references>
      </pivotArea>
    </chartFormat>
    <chartFormat chart="1" format="121">
      <pivotArea type="data" outline="0" fieldPosition="0">
        <references count="2">
          <reference field="4294967294" count="1" selected="0">
            <x v="2"/>
          </reference>
          <reference field="2" count="1" selected="0">
            <x v="12"/>
          </reference>
        </references>
      </pivotArea>
    </chartFormat>
    <chartFormat chart="1" format="122">
      <pivotArea type="data" outline="0" fieldPosition="0">
        <references count="2">
          <reference field="4294967294" count="1" selected="0">
            <x v="2"/>
          </reference>
          <reference field="2" count="1" selected="0">
            <x v="13"/>
          </reference>
        </references>
      </pivotArea>
    </chartFormat>
    <chartFormat chart="1" format="123">
      <pivotArea type="data" outline="0" fieldPosition="0">
        <references count="2">
          <reference field="4294967294" count="1" selected="0">
            <x v="2"/>
          </reference>
          <reference field="2" count="1" selected="0">
            <x v="14"/>
          </reference>
        </references>
      </pivotArea>
    </chartFormat>
    <chartFormat chart="1" format="124">
      <pivotArea type="data" outline="0" fieldPosition="0">
        <references count="2">
          <reference field="4294967294" count="1" selected="0">
            <x v="2"/>
          </reference>
          <reference field="2" count="1" selected="0">
            <x v="15"/>
          </reference>
        </references>
      </pivotArea>
    </chartFormat>
    <chartFormat chart="1" format="125">
      <pivotArea type="data" outline="0" fieldPosition="0">
        <references count="2">
          <reference field="4294967294" count="1" selected="0">
            <x v="2"/>
          </reference>
          <reference field="2" count="1" selected="0">
            <x v="16"/>
          </reference>
        </references>
      </pivotArea>
    </chartFormat>
    <chartFormat chart="1" format="126">
      <pivotArea type="data" outline="0" fieldPosition="0">
        <references count="2">
          <reference field="4294967294" count="1" selected="0">
            <x v="2"/>
          </reference>
          <reference field="2" count="1" selected="0">
            <x v="17"/>
          </reference>
        </references>
      </pivotArea>
    </chartFormat>
    <chartFormat chart="1" format="127">
      <pivotArea type="data" outline="0" fieldPosition="0">
        <references count="2">
          <reference field="4294967294" count="1" selected="0">
            <x v="2"/>
          </reference>
          <reference field="2" count="1" selected="0">
            <x v="18"/>
          </reference>
        </references>
      </pivotArea>
    </chartFormat>
    <chartFormat chart="1" format="128">
      <pivotArea type="data" outline="0" fieldPosition="0">
        <references count="2">
          <reference field="4294967294" count="1" selected="0">
            <x v="2"/>
          </reference>
          <reference field="2" count="1" selected="0">
            <x v="19"/>
          </reference>
        </references>
      </pivotArea>
    </chartFormat>
    <chartFormat chart="1" format="129">
      <pivotArea type="data" outline="0" fieldPosition="0">
        <references count="2">
          <reference field="4294967294" count="1" selected="0">
            <x v="2"/>
          </reference>
          <reference field="2" count="1" selected="0">
            <x v="20"/>
          </reference>
        </references>
      </pivotArea>
    </chartFormat>
    <chartFormat chart="1" format="130">
      <pivotArea type="data" outline="0" fieldPosition="0">
        <references count="2">
          <reference field="4294967294" count="1" selected="0">
            <x v="2"/>
          </reference>
          <reference field="2" count="1" selected="0">
            <x v="21"/>
          </reference>
        </references>
      </pivotArea>
    </chartFormat>
    <chartFormat chart="1" format="131">
      <pivotArea type="data" outline="0" fieldPosition="0">
        <references count="2">
          <reference field="4294967294" count="1" selected="0">
            <x v="2"/>
          </reference>
          <reference field="2" count="1" selected="0">
            <x v="22"/>
          </reference>
        </references>
      </pivotArea>
    </chartFormat>
    <chartFormat chart="1" format="132">
      <pivotArea type="data" outline="0" fieldPosition="0">
        <references count="2">
          <reference field="4294967294" count="1" selected="0">
            <x v="2"/>
          </reference>
          <reference field="2" count="1" selected="0">
            <x v="23"/>
          </reference>
        </references>
      </pivotArea>
    </chartFormat>
    <chartFormat chart="1" format="133">
      <pivotArea type="data" outline="0" fieldPosition="0">
        <references count="2">
          <reference field="4294967294" count="1" selected="0">
            <x v="2"/>
          </reference>
          <reference field="2" count="1" selected="0">
            <x v="24"/>
          </reference>
        </references>
      </pivotArea>
    </chartFormat>
    <chartFormat chart="1" format="134">
      <pivotArea type="data" outline="0" fieldPosition="0">
        <references count="2">
          <reference field="4294967294" count="1" selected="0">
            <x v="2"/>
          </reference>
          <reference field="2" count="1" selected="0">
            <x v="25"/>
          </reference>
        </references>
      </pivotArea>
    </chartFormat>
    <chartFormat chart="1" format="135">
      <pivotArea type="data" outline="0" fieldPosition="0">
        <references count="2">
          <reference field="4294967294" count="1" selected="0">
            <x v="2"/>
          </reference>
          <reference field="2" count="1" selected="0">
            <x v="26"/>
          </reference>
        </references>
      </pivotArea>
    </chartFormat>
    <chartFormat chart="1" format="136">
      <pivotArea type="data" outline="0" fieldPosition="0">
        <references count="2">
          <reference field="4294967294" count="1" selected="0">
            <x v="2"/>
          </reference>
          <reference field="2" count="1" selected="0">
            <x v="27"/>
          </reference>
        </references>
      </pivotArea>
    </chartFormat>
    <chartFormat chart="1" format="137">
      <pivotArea type="data" outline="0" fieldPosition="0">
        <references count="2">
          <reference field="4294967294" count="1" selected="0">
            <x v="2"/>
          </reference>
          <reference field="2" count="1" selected="0">
            <x v="28"/>
          </reference>
        </references>
      </pivotArea>
    </chartFormat>
    <chartFormat chart="1" format="138">
      <pivotArea type="data" outline="0" fieldPosition="0">
        <references count="2">
          <reference field="4294967294" count="1" selected="0">
            <x v="2"/>
          </reference>
          <reference field="2" count="1" selected="0">
            <x v="29"/>
          </reference>
        </references>
      </pivotArea>
    </chartFormat>
    <chartFormat chart="1" format="139">
      <pivotArea type="data" outline="0" fieldPosition="0">
        <references count="2">
          <reference field="4294967294" count="1" selected="0">
            <x v="2"/>
          </reference>
          <reference field="2" count="1" selected="0">
            <x v="30"/>
          </reference>
        </references>
      </pivotArea>
    </chartFormat>
    <chartFormat chart="1" format="140">
      <pivotArea type="data" outline="0" fieldPosition="0">
        <references count="2">
          <reference field="4294967294" count="1" selected="0">
            <x v="2"/>
          </reference>
          <reference field="2" count="1" selected="0">
            <x v="31"/>
          </reference>
        </references>
      </pivotArea>
    </chartFormat>
    <chartFormat chart="1" format="141">
      <pivotArea type="data" outline="0" fieldPosition="0">
        <references count="2">
          <reference field="4294967294" count="1" selected="0">
            <x v="2"/>
          </reference>
          <reference field="2" count="1" selected="0">
            <x v="32"/>
          </reference>
        </references>
      </pivotArea>
    </chartFormat>
    <chartFormat chart="1" format="142">
      <pivotArea type="data" outline="0" fieldPosition="0">
        <references count="2">
          <reference field="4294967294" count="1" selected="0">
            <x v="2"/>
          </reference>
          <reference field="2" count="1" selected="0">
            <x v="33"/>
          </reference>
        </references>
      </pivotArea>
    </chartFormat>
    <chartFormat chart="1" format="143">
      <pivotArea type="data" outline="0" fieldPosition="0">
        <references count="2">
          <reference field="4294967294" count="1" selected="0">
            <x v="2"/>
          </reference>
          <reference field="2" count="1" selected="0">
            <x v="34"/>
          </reference>
        </references>
      </pivotArea>
    </chartFormat>
    <chartFormat chart="1" format="144">
      <pivotArea type="data" outline="0" fieldPosition="0">
        <references count="2">
          <reference field="4294967294" count="1" selected="0">
            <x v="2"/>
          </reference>
          <reference field="2" count="1" selected="0">
            <x v="35"/>
          </reference>
        </references>
      </pivotArea>
    </chartFormat>
    <chartFormat chart="1" format="145">
      <pivotArea type="data" outline="0" fieldPosition="0">
        <references count="2">
          <reference field="4294967294" count="1" selected="0">
            <x v="2"/>
          </reference>
          <reference field="2" count="1" selected="0">
            <x v="36"/>
          </reference>
        </references>
      </pivotArea>
    </chartFormat>
    <chartFormat chart="1" format="146">
      <pivotArea type="data" outline="0" fieldPosition="0">
        <references count="2">
          <reference field="4294967294" count="1" selected="0">
            <x v="2"/>
          </reference>
          <reference field="2" count="1" selected="0">
            <x v="37"/>
          </reference>
        </references>
      </pivotArea>
    </chartFormat>
    <chartFormat chart="1" format="147">
      <pivotArea type="data" outline="0" fieldPosition="0">
        <references count="2">
          <reference field="4294967294" count="1" selected="0">
            <x v="2"/>
          </reference>
          <reference field="2" count="1" selected="0">
            <x v="38"/>
          </reference>
        </references>
      </pivotArea>
    </chartFormat>
    <chartFormat chart="1" format="148">
      <pivotArea type="data" outline="0" fieldPosition="0">
        <references count="2">
          <reference field="4294967294" count="1" selected="0">
            <x v="2"/>
          </reference>
          <reference field="2" count="1" selected="0">
            <x v="39"/>
          </reference>
        </references>
      </pivotArea>
    </chartFormat>
    <chartFormat chart="1" format="149">
      <pivotArea type="data" outline="0" fieldPosition="0">
        <references count="2">
          <reference field="4294967294" count="1" selected="0">
            <x v="2"/>
          </reference>
          <reference field="2" count="1" selected="0">
            <x v="40"/>
          </reference>
        </references>
      </pivotArea>
    </chartFormat>
    <chartFormat chart="1" format="150">
      <pivotArea type="data" outline="0" fieldPosition="0">
        <references count="2">
          <reference field="4294967294" count="1" selected="0">
            <x v="2"/>
          </reference>
          <reference field="2" count="1" selected="0">
            <x v="41"/>
          </reference>
        </references>
      </pivotArea>
    </chartFormat>
    <chartFormat chart="1" format="151">
      <pivotArea type="data" outline="0" fieldPosition="0">
        <references count="2">
          <reference field="4294967294" count="1" selected="0">
            <x v="2"/>
          </reference>
          <reference field="2" count="1" selected="0">
            <x v="42"/>
          </reference>
        </references>
      </pivotArea>
    </chartFormat>
    <chartFormat chart="1" format="152">
      <pivotArea type="data" outline="0" fieldPosition="0">
        <references count="2">
          <reference field="4294967294" count="1" selected="0">
            <x v="2"/>
          </reference>
          <reference field="2" count="1" selected="0">
            <x v="43"/>
          </reference>
        </references>
      </pivotArea>
    </chartFormat>
    <chartFormat chart="1" format="153">
      <pivotArea type="data" outline="0" fieldPosition="0">
        <references count="2">
          <reference field="4294967294" count="1" selected="0">
            <x v="2"/>
          </reference>
          <reference field="2" count="1" selected="0">
            <x v="44"/>
          </reference>
        </references>
      </pivotArea>
    </chartFormat>
    <chartFormat chart="1" format="154">
      <pivotArea type="data" outline="0" fieldPosition="0">
        <references count="2">
          <reference field="4294967294" count="1" selected="0">
            <x v="2"/>
          </reference>
          <reference field="2" count="1" selected="0">
            <x v="45"/>
          </reference>
        </references>
      </pivotArea>
    </chartFormat>
    <chartFormat chart="1" format="155">
      <pivotArea type="data" outline="0" fieldPosition="0">
        <references count="2">
          <reference field="4294967294" count="1" selected="0">
            <x v="2"/>
          </reference>
          <reference field="2" count="1" selected="0">
            <x v="46"/>
          </reference>
        </references>
      </pivotArea>
    </chartFormat>
    <chartFormat chart="1" format="156">
      <pivotArea type="data" outline="0" fieldPosition="0">
        <references count="2">
          <reference field="4294967294" count="1" selected="0">
            <x v="2"/>
          </reference>
          <reference field="2" count="1" selected="0">
            <x v="47"/>
          </reference>
        </references>
      </pivotArea>
    </chartFormat>
    <chartFormat chart="1" format="157">
      <pivotArea type="data" outline="0" fieldPosition="0">
        <references count="2">
          <reference field="4294967294" count="1" selected="0">
            <x v="2"/>
          </reference>
          <reference field="2" count="1" selected="0">
            <x v="48"/>
          </reference>
        </references>
      </pivotArea>
    </chartFormat>
    <chartFormat chart="1" format="158">
      <pivotArea type="data" outline="0" fieldPosition="0">
        <references count="2">
          <reference field="4294967294" count="1" selected="0">
            <x v="2"/>
          </reference>
          <reference field="2" count="1" selected="0">
            <x v="49"/>
          </reference>
        </references>
      </pivotArea>
    </chartFormat>
    <chartFormat chart="1" format="159">
      <pivotArea type="data" outline="0" fieldPosition="0">
        <references count="2">
          <reference field="4294967294" count="1" selected="0">
            <x v="2"/>
          </reference>
          <reference field="2" count="1" selected="0">
            <x v="50"/>
          </reference>
        </references>
      </pivotArea>
    </chartFormat>
    <chartFormat chart="1" format="160" series="1">
      <pivotArea type="data" outline="0" fieldPosition="0">
        <references count="1">
          <reference field="4294967294" count="1" selected="0">
            <x v="3"/>
          </reference>
        </references>
      </pivotArea>
    </chartFormat>
    <chartFormat chart="1" format="161">
      <pivotArea type="data" outline="0" fieldPosition="0">
        <references count="2">
          <reference field="4294967294" count="1" selected="0">
            <x v="3"/>
          </reference>
          <reference field="2" count="1" selected="0">
            <x v="0"/>
          </reference>
        </references>
      </pivotArea>
    </chartFormat>
    <chartFormat chart="1" format="162">
      <pivotArea type="data" outline="0" fieldPosition="0">
        <references count="2">
          <reference field="4294967294" count="1" selected="0">
            <x v="3"/>
          </reference>
          <reference field="2" count="1" selected="0">
            <x v="1"/>
          </reference>
        </references>
      </pivotArea>
    </chartFormat>
    <chartFormat chart="1" format="163">
      <pivotArea type="data" outline="0" fieldPosition="0">
        <references count="2">
          <reference field="4294967294" count="1" selected="0">
            <x v="3"/>
          </reference>
          <reference field="2" count="1" selected="0">
            <x v="2"/>
          </reference>
        </references>
      </pivotArea>
    </chartFormat>
    <chartFormat chart="1" format="164">
      <pivotArea type="data" outline="0" fieldPosition="0">
        <references count="2">
          <reference field="4294967294" count="1" selected="0">
            <x v="3"/>
          </reference>
          <reference field="2" count="1" selected="0">
            <x v="3"/>
          </reference>
        </references>
      </pivotArea>
    </chartFormat>
    <chartFormat chart="1" format="165">
      <pivotArea type="data" outline="0" fieldPosition="0">
        <references count="2">
          <reference field="4294967294" count="1" selected="0">
            <x v="3"/>
          </reference>
          <reference field="2" count="1" selected="0">
            <x v="4"/>
          </reference>
        </references>
      </pivotArea>
    </chartFormat>
    <chartFormat chart="1" format="166">
      <pivotArea type="data" outline="0" fieldPosition="0">
        <references count="2">
          <reference field="4294967294" count="1" selected="0">
            <x v="3"/>
          </reference>
          <reference field="2" count="1" selected="0">
            <x v="5"/>
          </reference>
        </references>
      </pivotArea>
    </chartFormat>
    <chartFormat chart="1" format="167">
      <pivotArea type="data" outline="0" fieldPosition="0">
        <references count="2">
          <reference field="4294967294" count="1" selected="0">
            <x v="3"/>
          </reference>
          <reference field="2" count="1" selected="0">
            <x v="6"/>
          </reference>
        </references>
      </pivotArea>
    </chartFormat>
    <chartFormat chart="1" format="168">
      <pivotArea type="data" outline="0" fieldPosition="0">
        <references count="2">
          <reference field="4294967294" count="1" selected="0">
            <x v="3"/>
          </reference>
          <reference field="2" count="1" selected="0">
            <x v="7"/>
          </reference>
        </references>
      </pivotArea>
    </chartFormat>
    <chartFormat chart="1" format="169">
      <pivotArea type="data" outline="0" fieldPosition="0">
        <references count="2">
          <reference field="4294967294" count="1" selected="0">
            <x v="3"/>
          </reference>
          <reference field="2" count="1" selected="0">
            <x v="8"/>
          </reference>
        </references>
      </pivotArea>
    </chartFormat>
    <chartFormat chart="1" format="170">
      <pivotArea type="data" outline="0" fieldPosition="0">
        <references count="2">
          <reference field="4294967294" count="1" selected="0">
            <x v="3"/>
          </reference>
          <reference field="2" count="1" selected="0">
            <x v="9"/>
          </reference>
        </references>
      </pivotArea>
    </chartFormat>
    <chartFormat chart="1" format="171">
      <pivotArea type="data" outline="0" fieldPosition="0">
        <references count="2">
          <reference field="4294967294" count="1" selected="0">
            <x v="3"/>
          </reference>
          <reference field="2" count="1" selected="0">
            <x v="10"/>
          </reference>
        </references>
      </pivotArea>
    </chartFormat>
    <chartFormat chart="1" format="172">
      <pivotArea type="data" outline="0" fieldPosition="0">
        <references count="2">
          <reference field="4294967294" count="1" selected="0">
            <x v="3"/>
          </reference>
          <reference field="2" count="1" selected="0">
            <x v="11"/>
          </reference>
        </references>
      </pivotArea>
    </chartFormat>
    <chartFormat chart="1" format="173">
      <pivotArea type="data" outline="0" fieldPosition="0">
        <references count="2">
          <reference field="4294967294" count="1" selected="0">
            <x v="3"/>
          </reference>
          <reference field="2" count="1" selected="0">
            <x v="12"/>
          </reference>
        </references>
      </pivotArea>
    </chartFormat>
    <chartFormat chart="1" format="174">
      <pivotArea type="data" outline="0" fieldPosition="0">
        <references count="2">
          <reference field="4294967294" count="1" selected="0">
            <x v="3"/>
          </reference>
          <reference field="2" count="1" selected="0">
            <x v="13"/>
          </reference>
        </references>
      </pivotArea>
    </chartFormat>
    <chartFormat chart="1" format="175">
      <pivotArea type="data" outline="0" fieldPosition="0">
        <references count="2">
          <reference field="4294967294" count="1" selected="0">
            <x v="3"/>
          </reference>
          <reference field="2" count="1" selected="0">
            <x v="14"/>
          </reference>
        </references>
      </pivotArea>
    </chartFormat>
    <chartFormat chart="1" format="176">
      <pivotArea type="data" outline="0" fieldPosition="0">
        <references count="2">
          <reference field="4294967294" count="1" selected="0">
            <x v="3"/>
          </reference>
          <reference field="2" count="1" selected="0">
            <x v="15"/>
          </reference>
        </references>
      </pivotArea>
    </chartFormat>
    <chartFormat chart="1" format="177">
      <pivotArea type="data" outline="0" fieldPosition="0">
        <references count="2">
          <reference field="4294967294" count="1" selected="0">
            <x v="3"/>
          </reference>
          <reference field="2" count="1" selected="0">
            <x v="16"/>
          </reference>
        </references>
      </pivotArea>
    </chartFormat>
    <chartFormat chart="1" format="178">
      <pivotArea type="data" outline="0" fieldPosition="0">
        <references count="2">
          <reference field="4294967294" count="1" selected="0">
            <x v="3"/>
          </reference>
          <reference field="2" count="1" selected="0">
            <x v="17"/>
          </reference>
        </references>
      </pivotArea>
    </chartFormat>
    <chartFormat chart="1" format="179">
      <pivotArea type="data" outline="0" fieldPosition="0">
        <references count="2">
          <reference field="4294967294" count="1" selected="0">
            <x v="3"/>
          </reference>
          <reference field="2" count="1" selected="0">
            <x v="18"/>
          </reference>
        </references>
      </pivotArea>
    </chartFormat>
    <chartFormat chart="1" format="180">
      <pivotArea type="data" outline="0" fieldPosition="0">
        <references count="2">
          <reference field="4294967294" count="1" selected="0">
            <x v="3"/>
          </reference>
          <reference field="2" count="1" selected="0">
            <x v="19"/>
          </reference>
        </references>
      </pivotArea>
    </chartFormat>
    <chartFormat chart="1" format="181">
      <pivotArea type="data" outline="0" fieldPosition="0">
        <references count="2">
          <reference field="4294967294" count="1" selected="0">
            <x v="3"/>
          </reference>
          <reference field="2" count="1" selected="0">
            <x v="20"/>
          </reference>
        </references>
      </pivotArea>
    </chartFormat>
    <chartFormat chart="1" format="182">
      <pivotArea type="data" outline="0" fieldPosition="0">
        <references count="2">
          <reference field="4294967294" count="1" selected="0">
            <x v="3"/>
          </reference>
          <reference field="2" count="1" selected="0">
            <x v="21"/>
          </reference>
        </references>
      </pivotArea>
    </chartFormat>
    <chartFormat chart="1" format="183">
      <pivotArea type="data" outline="0" fieldPosition="0">
        <references count="2">
          <reference field="4294967294" count="1" selected="0">
            <x v="3"/>
          </reference>
          <reference field="2" count="1" selected="0">
            <x v="22"/>
          </reference>
        </references>
      </pivotArea>
    </chartFormat>
    <chartFormat chart="1" format="184">
      <pivotArea type="data" outline="0" fieldPosition="0">
        <references count="2">
          <reference field="4294967294" count="1" selected="0">
            <x v="3"/>
          </reference>
          <reference field="2" count="1" selected="0">
            <x v="23"/>
          </reference>
        </references>
      </pivotArea>
    </chartFormat>
    <chartFormat chart="1" format="185">
      <pivotArea type="data" outline="0" fieldPosition="0">
        <references count="2">
          <reference field="4294967294" count="1" selected="0">
            <x v="3"/>
          </reference>
          <reference field="2" count="1" selected="0">
            <x v="24"/>
          </reference>
        </references>
      </pivotArea>
    </chartFormat>
    <chartFormat chart="1" format="186">
      <pivotArea type="data" outline="0" fieldPosition="0">
        <references count="2">
          <reference field="4294967294" count="1" selected="0">
            <x v="3"/>
          </reference>
          <reference field="2" count="1" selected="0">
            <x v="25"/>
          </reference>
        </references>
      </pivotArea>
    </chartFormat>
    <chartFormat chart="1" format="187">
      <pivotArea type="data" outline="0" fieldPosition="0">
        <references count="2">
          <reference field="4294967294" count="1" selected="0">
            <x v="3"/>
          </reference>
          <reference field="2" count="1" selected="0">
            <x v="26"/>
          </reference>
        </references>
      </pivotArea>
    </chartFormat>
    <chartFormat chart="1" format="188">
      <pivotArea type="data" outline="0" fieldPosition="0">
        <references count="2">
          <reference field="4294967294" count="1" selected="0">
            <x v="3"/>
          </reference>
          <reference field="2" count="1" selected="0">
            <x v="27"/>
          </reference>
        </references>
      </pivotArea>
    </chartFormat>
    <chartFormat chart="1" format="189">
      <pivotArea type="data" outline="0" fieldPosition="0">
        <references count="2">
          <reference field="4294967294" count="1" selected="0">
            <x v="3"/>
          </reference>
          <reference field="2" count="1" selected="0">
            <x v="28"/>
          </reference>
        </references>
      </pivotArea>
    </chartFormat>
    <chartFormat chart="1" format="190">
      <pivotArea type="data" outline="0" fieldPosition="0">
        <references count="2">
          <reference field="4294967294" count="1" selected="0">
            <x v="3"/>
          </reference>
          <reference field="2" count="1" selected="0">
            <x v="29"/>
          </reference>
        </references>
      </pivotArea>
    </chartFormat>
    <chartFormat chart="1" format="191">
      <pivotArea type="data" outline="0" fieldPosition="0">
        <references count="2">
          <reference field="4294967294" count="1" selected="0">
            <x v="3"/>
          </reference>
          <reference field="2" count="1" selected="0">
            <x v="30"/>
          </reference>
        </references>
      </pivotArea>
    </chartFormat>
    <chartFormat chart="1" format="192">
      <pivotArea type="data" outline="0" fieldPosition="0">
        <references count="2">
          <reference field="4294967294" count="1" selected="0">
            <x v="3"/>
          </reference>
          <reference field="2" count="1" selected="0">
            <x v="31"/>
          </reference>
        </references>
      </pivotArea>
    </chartFormat>
    <chartFormat chart="1" format="193">
      <pivotArea type="data" outline="0" fieldPosition="0">
        <references count="2">
          <reference field="4294967294" count="1" selected="0">
            <x v="3"/>
          </reference>
          <reference field="2" count="1" selected="0">
            <x v="32"/>
          </reference>
        </references>
      </pivotArea>
    </chartFormat>
    <chartFormat chart="1" format="194">
      <pivotArea type="data" outline="0" fieldPosition="0">
        <references count="2">
          <reference field="4294967294" count="1" selected="0">
            <x v="3"/>
          </reference>
          <reference field="2" count="1" selected="0">
            <x v="33"/>
          </reference>
        </references>
      </pivotArea>
    </chartFormat>
    <chartFormat chart="1" format="195">
      <pivotArea type="data" outline="0" fieldPosition="0">
        <references count="2">
          <reference field="4294967294" count="1" selected="0">
            <x v="3"/>
          </reference>
          <reference field="2" count="1" selected="0">
            <x v="34"/>
          </reference>
        </references>
      </pivotArea>
    </chartFormat>
    <chartFormat chart="1" format="196">
      <pivotArea type="data" outline="0" fieldPosition="0">
        <references count="2">
          <reference field="4294967294" count="1" selected="0">
            <x v="3"/>
          </reference>
          <reference field="2" count="1" selected="0">
            <x v="35"/>
          </reference>
        </references>
      </pivotArea>
    </chartFormat>
    <chartFormat chart="1" format="197">
      <pivotArea type="data" outline="0" fieldPosition="0">
        <references count="2">
          <reference field="4294967294" count="1" selected="0">
            <x v="3"/>
          </reference>
          <reference field="2" count="1" selected="0">
            <x v="36"/>
          </reference>
        </references>
      </pivotArea>
    </chartFormat>
    <chartFormat chart="1" format="198">
      <pivotArea type="data" outline="0" fieldPosition="0">
        <references count="2">
          <reference field="4294967294" count="1" selected="0">
            <x v="3"/>
          </reference>
          <reference field="2" count="1" selected="0">
            <x v="37"/>
          </reference>
        </references>
      </pivotArea>
    </chartFormat>
    <chartFormat chart="1" format="199">
      <pivotArea type="data" outline="0" fieldPosition="0">
        <references count="2">
          <reference field="4294967294" count="1" selected="0">
            <x v="3"/>
          </reference>
          <reference field="2" count="1" selected="0">
            <x v="38"/>
          </reference>
        </references>
      </pivotArea>
    </chartFormat>
    <chartFormat chart="1" format="200">
      <pivotArea type="data" outline="0" fieldPosition="0">
        <references count="2">
          <reference field="4294967294" count="1" selected="0">
            <x v="3"/>
          </reference>
          <reference field="2" count="1" selected="0">
            <x v="39"/>
          </reference>
        </references>
      </pivotArea>
    </chartFormat>
    <chartFormat chart="1" format="201">
      <pivotArea type="data" outline="0" fieldPosition="0">
        <references count="2">
          <reference field="4294967294" count="1" selected="0">
            <x v="3"/>
          </reference>
          <reference field="2" count="1" selected="0">
            <x v="40"/>
          </reference>
        </references>
      </pivotArea>
    </chartFormat>
    <chartFormat chart="1" format="202">
      <pivotArea type="data" outline="0" fieldPosition="0">
        <references count="2">
          <reference field="4294967294" count="1" selected="0">
            <x v="3"/>
          </reference>
          <reference field="2" count="1" selected="0">
            <x v="41"/>
          </reference>
        </references>
      </pivotArea>
    </chartFormat>
    <chartFormat chart="1" format="203">
      <pivotArea type="data" outline="0" fieldPosition="0">
        <references count="2">
          <reference field="4294967294" count="1" selected="0">
            <x v="3"/>
          </reference>
          <reference field="2" count="1" selected="0">
            <x v="42"/>
          </reference>
        </references>
      </pivotArea>
    </chartFormat>
    <chartFormat chart="1" format="204">
      <pivotArea type="data" outline="0" fieldPosition="0">
        <references count="2">
          <reference field="4294967294" count="1" selected="0">
            <x v="3"/>
          </reference>
          <reference field="2" count="1" selected="0">
            <x v="43"/>
          </reference>
        </references>
      </pivotArea>
    </chartFormat>
    <chartFormat chart="1" format="205">
      <pivotArea type="data" outline="0" fieldPosition="0">
        <references count="2">
          <reference field="4294967294" count="1" selected="0">
            <x v="3"/>
          </reference>
          <reference field="2" count="1" selected="0">
            <x v="44"/>
          </reference>
        </references>
      </pivotArea>
    </chartFormat>
    <chartFormat chart="1" format="206">
      <pivotArea type="data" outline="0" fieldPosition="0">
        <references count="2">
          <reference field="4294967294" count="1" selected="0">
            <x v="3"/>
          </reference>
          <reference field="2" count="1" selected="0">
            <x v="45"/>
          </reference>
        </references>
      </pivotArea>
    </chartFormat>
    <chartFormat chart="1" format="207">
      <pivotArea type="data" outline="0" fieldPosition="0">
        <references count="2">
          <reference field="4294967294" count="1" selected="0">
            <x v="3"/>
          </reference>
          <reference field="2" count="1" selected="0">
            <x v="46"/>
          </reference>
        </references>
      </pivotArea>
    </chartFormat>
    <chartFormat chart="1" format="208">
      <pivotArea type="data" outline="0" fieldPosition="0">
        <references count="2">
          <reference field="4294967294" count="1" selected="0">
            <x v="3"/>
          </reference>
          <reference field="2" count="1" selected="0">
            <x v="47"/>
          </reference>
        </references>
      </pivotArea>
    </chartFormat>
    <chartFormat chart="1" format="209">
      <pivotArea type="data" outline="0" fieldPosition="0">
        <references count="2">
          <reference field="4294967294" count="1" selected="0">
            <x v="3"/>
          </reference>
          <reference field="2" count="1" selected="0">
            <x v="48"/>
          </reference>
        </references>
      </pivotArea>
    </chartFormat>
    <chartFormat chart="1" format="210">
      <pivotArea type="data" outline="0" fieldPosition="0">
        <references count="2">
          <reference field="4294967294" count="1" selected="0">
            <x v="3"/>
          </reference>
          <reference field="2" count="1" selected="0">
            <x v="49"/>
          </reference>
        </references>
      </pivotArea>
    </chartFormat>
    <chartFormat chart="1" format="211">
      <pivotArea type="data" outline="0" fieldPosition="0">
        <references count="2">
          <reference field="4294967294" count="1" selected="0">
            <x v="3"/>
          </reference>
          <reference field="2" count="1" selected="0">
            <x v="50"/>
          </reference>
        </references>
      </pivotArea>
    </chartFormat>
    <chartFormat chart="2" format="212" series="1">
      <pivotArea type="data" outline="0" fieldPosition="0">
        <references count="1">
          <reference field="4294967294" count="1" selected="0">
            <x v="0"/>
          </reference>
        </references>
      </pivotArea>
    </chartFormat>
    <chartFormat chart="2" format="213">
      <pivotArea type="data" outline="0" fieldPosition="0">
        <references count="2">
          <reference field="4294967294" count="1" selected="0">
            <x v="0"/>
          </reference>
          <reference field="2" count="1" selected="0">
            <x v="0"/>
          </reference>
        </references>
      </pivotArea>
    </chartFormat>
    <chartFormat chart="2" format="214">
      <pivotArea type="data" outline="0" fieldPosition="0">
        <references count="2">
          <reference field="4294967294" count="1" selected="0">
            <x v="0"/>
          </reference>
          <reference field="2" count="1" selected="0">
            <x v="1"/>
          </reference>
        </references>
      </pivotArea>
    </chartFormat>
    <chartFormat chart="2" format="215">
      <pivotArea type="data" outline="0" fieldPosition="0">
        <references count="2">
          <reference field="4294967294" count="1" selected="0">
            <x v="0"/>
          </reference>
          <reference field="2" count="1" selected="0">
            <x v="2"/>
          </reference>
        </references>
      </pivotArea>
    </chartFormat>
    <chartFormat chart="2" format="216">
      <pivotArea type="data" outline="0" fieldPosition="0">
        <references count="2">
          <reference field="4294967294" count="1" selected="0">
            <x v="0"/>
          </reference>
          <reference field="2" count="1" selected="0">
            <x v="3"/>
          </reference>
        </references>
      </pivotArea>
    </chartFormat>
    <chartFormat chart="2" format="217">
      <pivotArea type="data" outline="0" fieldPosition="0">
        <references count="2">
          <reference field="4294967294" count="1" selected="0">
            <x v="0"/>
          </reference>
          <reference field="2" count="1" selected="0">
            <x v="4"/>
          </reference>
        </references>
      </pivotArea>
    </chartFormat>
    <chartFormat chart="2" format="218">
      <pivotArea type="data" outline="0" fieldPosition="0">
        <references count="2">
          <reference field="4294967294" count="1" selected="0">
            <x v="0"/>
          </reference>
          <reference field="2" count="1" selected="0">
            <x v="5"/>
          </reference>
        </references>
      </pivotArea>
    </chartFormat>
    <chartFormat chart="2" format="219">
      <pivotArea type="data" outline="0" fieldPosition="0">
        <references count="2">
          <reference field="4294967294" count="1" selected="0">
            <x v="0"/>
          </reference>
          <reference field="2" count="1" selected="0">
            <x v="6"/>
          </reference>
        </references>
      </pivotArea>
    </chartFormat>
    <chartFormat chart="2" format="220">
      <pivotArea type="data" outline="0" fieldPosition="0">
        <references count="2">
          <reference field="4294967294" count="1" selected="0">
            <x v="0"/>
          </reference>
          <reference field="2" count="1" selected="0">
            <x v="7"/>
          </reference>
        </references>
      </pivotArea>
    </chartFormat>
    <chartFormat chart="2" format="221">
      <pivotArea type="data" outline="0" fieldPosition="0">
        <references count="2">
          <reference field="4294967294" count="1" selected="0">
            <x v="0"/>
          </reference>
          <reference field="2" count="1" selected="0">
            <x v="8"/>
          </reference>
        </references>
      </pivotArea>
    </chartFormat>
    <chartFormat chart="2" format="222">
      <pivotArea type="data" outline="0" fieldPosition="0">
        <references count="2">
          <reference field="4294967294" count="1" selected="0">
            <x v="0"/>
          </reference>
          <reference field="2" count="1" selected="0">
            <x v="9"/>
          </reference>
        </references>
      </pivotArea>
    </chartFormat>
    <chartFormat chart="2" format="223">
      <pivotArea type="data" outline="0" fieldPosition="0">
        <references count="2">
          <reference field="4294967294" count="1" selected="0">
            <x v="0"/>
          </reference>
          <reference field="2" count="1" selected="0">
            <x v="10"/>
          </reference>
        </references>
      </pivotArea>
    </chartFormat>
    <chartFormat chart="2" format="224">
      <pivotArea type="data" outline="0" fieldPosition="0">
        <references count="2">
          <reference field="4294967294" count="1" selected="0">
            <x v="0"/>
          </reference>
          <reference field="2" count="1" selected="0">
            <x v="11"/>
          </reference>
        </references>
      </pivotArea>
    </chartFormat>
    <chartFormat chart="2" format="225">
      <pivotArea type="data" outline="0" fieldPosition="0">
        <references count="2">
          <reference field="4294967294" count="1" selected="0">
            <x v="0"/>
          </reference>
          <reference field="2" count="1" selected="0">
            <x v="12"/>
          </reference>
        </references>
      </pivotArea>
    </chartFormat>
    <chartFormat chart="2" format="226">
      <pivotArea type="data" outline="0" fieldPosition="0">
        <references count="2">
          <reference field="4294967294" count="1" selected="0">
            <x v="0"/>
          </reference>
          <reference field="2" count="1" selected="0">
            <x v="13"/>
          </reference>
        </references>
      </pivotArea>
    </chartFormat>
    <chartFormat chart="2" format="227">
      <pivotArea type="data" outline="0" fieldPosition="0">
        <references count="2">
          <reference field="4294967294" count="1" selected="0">
            <x v="0"/>
          </reference>
          <reference field="2" count="1" selected="0">
            <x v="14"/>
          </reference>
        </references>
      </pivotArea>
    </chartFormat>
    <chartFormat chart="2" format="228">
      <pivotArea type="data" outline="0" fieldPosition="0">
        <references count="2">
          <reference field="4294967294" count="1" selected="0">
            <x v="0"/>
          </reference>
          <reference field="2" count="1" selected="0">
            <x v="15"/>
          </reference>
        </references>
      </pivotArea>
    </chartFormat>
    <chartFormat chart="2" format="229">
      <pivotArea type="data" outline="0" fieldPosition="0">
        <references count="2">
          <reference field="4294967294" count="1" selected="0">
            <x v="0"/>
          </reference>
          <reference field="2" count="1" selected="0">
            <x v="16"/>
          </reference>
        </references>
      </pivotArea>
    </chartFormat>
    <chartFormat chart="2" format="230">
      <pivotArea type="data" outline="0" fieldPosition="0">
        <references count="2">
          <reference field="4294967294" count="1" selected="0">
            <x v="0"/>
          </reference>
          <reference field="2" count="1" selected="0">
            <x v="17"/>
          </reference>
        </references>
      </pivotArea>
    </chartFormat>
    <chartFormat chart="2" format="231">
      <pivotArea type="data" outline="0" fieldPosition="0">
        <references count="2">
          <reference field="4294967294" count="1" selected="0">
            <x v="0"/>
          </reference>
          <reference field="2" count="1" selected="0">
            <x v="18"/>
          </reference>
        </references>
      </pivotArea>
    </chartFormat>
    <chartFormat chart="2" format="232">
      <pivotArea type="data" outline="0" fieldPosition="0">
        <references count="2">
          <reference field="4294967294" count="1" selected="0">
            <x v="0"/>
          </reference>
          <reference field="2" count="1" selected="0">
            <x v="19"/>
          </reference>
        </references>
      </pivotArea>
    </chartFormat>
    <chartFormat chart="2" format="233">
      <pivotArea type="data" outline="0" fieldPosition="0">
        <references count="2">
          <reference field="4294967294" count="1" selected="0">
            <x v="0"/>
          </reference>
          <reference field="2" count="1" selected="0">
            <x v="20"/>
          </reference>
        </references>
      </pivotArea>
    </chartFormat>
    <chartFormat chart="2" format="234">
      <pivotArea type="data" outline="0" fieldPosition="0">
        <references count="2">
          <reference field="4294967294" count="1" selected="0">
            <x v="0"/>
          </reference>
          <reference field="2" count="1" selected="0">
            <x v="21"/>
          </reference>
        </references>
      </pivotArea>
    </chartFormat>
    <chartFormat chart="2" format="235">
      <pivotArea type="data" outline="0" fieldPosition="0">
        <references count="2">
          <reference field="4294967294" count="1" selected="0">
            <x v="0"/>
          </reference>
          <reference field="2" count="1" selected="0">
            <x v="22"/>
          </reference>
        </references>
      </pivotArea>
    </chartFormat>
    <chartFormat chart="2" format="236">
      <pivotArea type="data" outline="0" fieldPosition="0">
        <references count="2">
          <reference field="4294967294" count="1" selected="0">
            <x v="0"/>
          </reference>
          <reference field="2" count="1" selected="0">
            <x v="23"/>
          </reference>
        </references>
      </pivotArea>
    </chartFormat>
    <chartFormat chart="2" format="237">
      <pivotArea type="data" outline="0" fieldPosition="0">
        <references count="2">
          <reference field="4294967294" count="1" selected="0">
            <x v="0"/>
          </reference>
          <reference field="2" count="1" selected="0">
            <x v="24"/>
          </reference>
        </references>
      </pivotArea>
    </chartFormat>
    <chartFormat chart="2" format="238">
      <pivotArea type="data" outline="0" fieldPosition="0">
        <references count="2">
          <reference field="4294967294" count="1" selected="0">
            <x v="0"/>
          </reference>
          <reference field="2" count="1" selected="0">
            <x v="25"/>
          </reference>
        </references>
      </pivotArea>
    </chartFormat>
    <chartFormat chart="2" format="239">
      <pivotArea type="data" outline="0" fieldPosition="0">
        <references count="2">
          <reference field="4294967294" count="1" selected="0">
            <x v="0"/>
          </reference>
          <reference field="2" count="1" selected="0">
            <x v="26"/>
          </reference>
        </references>
      </pivotArea>
    </chartFormat>
    <chartFormat chart="2" format="240">
      <pivotArea type="data" outline="0" fieldPosition="0">
        <references count="2">
          <reference field="4294967294" count="1" selected="0">
            <x v="0"/>
          </reference>
          <reference field="2" count="1" selected="0">
            <x v="27"/>
          </reference>
        </references>
      </pivotArea>
    </chartFormat>
    <chartFormat chart="2" format="241">
      <pivotArea type="data" outline="0" fieldPosition="0">
        <references count="2">
          <reference field="4294967294" count="1" selected="0">
            <x v="0"/>
          </reference>
          <reference field="2" count="1" selected="0">
            <x v="28"/>
          </reference>
        </references>
      </pivotArea>
    </chartFormat>
    <chartFormat chart="2" format="242">
      <pivotArea type="data" outline="0" fieldPosition="0">
        <references count="2">
          <reference field="4294967294" count="1" selected="0">
            <x v="0"/>
          </reference>
          <reference field="2" count="1" selected="0">
            <x v="29"/>
          </reference>
        </references>
      </pivotArea>
    </chartFormat>
    <chartFormat chart="2" format="243">
      <pivotArea type="data" outline="0" fieldPosition="0">
        <references count="2">
          <reference field="4294967294" count="1" selected="0">
            <x v="0"/>
          </reference>
          <reference field="2" count="1" selected="0">
            <x v="30"/>
          </reference>
        </references>
      </pivotArea>
    </chartFormat>
    <chartFormat chart="2" format="244">
      <pivotArea type="data" outline="0" fieldPosition="0">
        <references count="2">
          <reference field="4294967294" count="1" selected="0">
            <x v="0"/>
          </reference>
          <reference field="2" count="1" selected="0">
            <x v="31"/>
          </reference>
        </references>
      </pivotArea>
    </chartFormat>
    <chartFormat chart="2" format="245">
      <pivotArea type="data" outline="0" fieldPosition="0">
        <references count="2">
          <reference field="4294967294" count="1" selected="0">
            <x v="0"/>
          </reference>
          <reference field="2" count="1" selected="0">
            <x v="32"/>
          </reference>
        </references>
      </pivotArea>
    </chartFormat>
    <chartFormat chart="2" format="246">
      <pivotArea type="data" outline="0" fieldPosition="0">
        <references count="2">
          <reference field="4294967294" count="1" selected="0">
            <x v="0"/>
          </reference>
          <reference field="2" count="1" selected="0">
            <x v="33"/>
          </reference>
        </references>
      </pivotArea>
    </chartFormat>
    <chartFormat chart="2" format="247">
      <pivotArea type="data" outline="0" fieldPosition="0">
        <references count="2">
          <reference field="4294967294" count="1" selected="0">
            <x v="0"/>
          </reference>
          <reference field="2" count="1" selected="0">
            <x v="34"/>
          </reference>
        </references>
      </pivotArea>
    </chartFormat>
    <chartFormat chart="2" format="248">
      <pivotArea type="data" outline="0" fieldPosition="0">
        <references count="2">
          <reference field="4294967294" count="1" selected="0">
            <x v="0"/>
          </reference>
          <reference field="2" count="1" selected="0">
            <x v="35"/>
          </reference>
        </references>
      </pivotArea>
    </chartFormat>
    <chartFormat chart="2" format="249">
      <pivotArea type="data" outline="0" fieldPosition="0">
        <references count="2">
          <reference field="4294967294" count="1" selected="0">
            <x v="0"/>
          </reference>
          <reference field="2" count="1" selected="0">
            <x v="36"/>
          </reference>
        </references>
      </pivotArea>
    </chartFormat>
    <chartFormat chart="2" format="250">
      <pivotArea type="data" outline="0" fieldPosition="0">
        <references count="2">
          <reference field="4294967294" count="1" selected="0">
            <x v="0"/>
          </reference>
          <reference field="2" count="1" selected="0">
            <x v="37"/>
          </reference>
        </references>
      </pivotArea>
    </chartFormat>
    <chartFormat chart="2" format="251">
      <pivotArea type="data" outline="0" fieldPosition="0">
        <references count="2">
          <reference field="4294967294" count="1" selected="0">
            <x v="0"/>
          </reference>
          <reference field="2" count="1" selected="0">
            <x v="38"/>
          </reference>
        </references>
      </pivotArea>
    </chartFormat>
    <chartFormat chart="2" format="252">
      <pivotArea type="data" outline="0" fieldPosition="0">
        <references count="2">
          <reference field="4294967294" count="1" selected="0">
            <x v="0"/>
          </reference>
          <reference field="2" count="1" selected="0">
            <x v="39"/>
          </reference>
        </references>
      </pivotArea>
    </chartFormat>
    <chartFormat chart="2" format="253">
      <pivotArea type="data" outline="0" fieldPosition="0">
        <references count="2">
          <reference field="4294967294" count="1" selected="0">
            <x v="0"/>
          </reference>
          <reference field="2" count="1" selected="0">
            <x v="40"/>
          </reference>
        </references>
      </pivotArea>
    </chartFormat>
    <chartFormat chart="2" format="254">
      <pivotArea type="data" outline="0" fieldPosition="0">
        <references count="2">
          <reference field="4294967294" count="1" selected="0">
            <x v="0"/>
          </reference>
          <reference field="2" count="1" selected="0">
            <x v="41"/>
          </reference>
        </references>
      </pivotArea>
    </chartFormat>
    <chartFormat chart="2" format="255">
      <pivotArea type="data" outline="0" fieldPosition="0">
        <references count="2">
          <reference field="4294967294" count="1" selected="0">
            <x v="0"/>
          </reference>
          <reference field="2" count="1" selected="0">
            <x v="42"/>
          </reference>
        </references>
      </pivotArea>
    </chartFormat>
    <chartFormat chart="2" format="256">
      <pivotArea type="data" outline="0" fieldPosition="0">
        <references count="2">
          <reference field="4294967294" count="1" selected="0">
            <x v="0"/>
          </reference>
          <reference field="2" count="1" selected="0">
            <x v="43"/>
          </reference>
        </references>
      </pivotArea>
    </chartFormat>
    <chartFormat chart="2" format="257">
      <pivotArea type="data" outline="0" fieldPosition="0">
        <references count="2">
          <reference field="4294967294" count="1" selected="0">
            <x v="0"/>
          </reference>
          <reference field="2" count="1" selected="0">
            <x v="44"/>
          </reference>
        </references>
      </pivotArea>
    </chartFormat>
    <chartFormat chart="2" format="258">
      <pivotArea type="data" outline="0" fieldPosition="0">
        <references count="2">
          <reference field="4294967294" count="1" selected="0">
            <x v="0"/>
          </reference>
          <reference field="2" count="1" selected="0">
            <x v="45"/>
          </reference>
        </references>
      </pivotArea>
    </chartFormat>
    <chartFormat chart="2" format="259">
      <pivotArea type="data" outline="0" fieldPosition="0">
        <references count="2">
          <reference field="4294967294" count="1" selected="0">
            <x v="0"/>
          </reference>
          <reference field="2" count="1" selected="0">
            <x v="46"/>
          </reference>
        </references>
      </pivotArea>
    </chartFormat>
    <chartFormat chart="2" format="260">
      <pivotArea type="data" outline="0" fieldPosition="0">
        <references count="2">
          <reference field="4294967294" count="1" selected="0">
            <x v="0"/>
          </reference>
          <reference field="2" count="1" selected="0">
            <x v="47"/>
          </reference>
        </references>
      </pivotArea>
    </chartFormat>
    <chartFormat chart="2" format="261">
      <pivotArea type="data" outline="0" fieldPosition="0">
        <references count="2">
          <reference field="4294967294" count="1" selected="0">
            <x v="0"/>
          </reference>
          <reference field="2" count="1" selected="0">
            <x v="48"/>
          </reference>
        </references>
      </pivotArea>
    </chartFormat>
    <chartFormat chart="2" format="262">
      <pivotArea type="data" outline="0" fieldPosition="0">
        <references count="2">
          <reference field="4294967294" count="1" selected="0">
            <x v="0"/>
          </reference>
          <reference field="2" count="1" selected="0">
            <x v="49"/>
          </reference>
        </references>
      </pivotArea>
    </chartFormat>
    <chartFormat chart="2" format="263">
      <pivotArea type="data" outline="0" fieldPosition="0">
        <references count="2">
          <reference field="4294967294" count="1" selected="0">
            <x v="0"/>
          </reference>
          <reference field="2" count="1" selected="0">
            <x v="50"/>
          </reference>
        </references>
      </pivotArea>
    </chartFormat>
    <chartFormat chart="2" format="264" series="1">
      <pivotArea type="data" outline="0" fieldPosition="0">
        <references count="1">
          <reference field="4294967294" count="1" selected="0">
            <x v="1"/>
          </reference>
        </references>
      </pivotArea>
    </chartFormat>
    <chartFormat chart="2" format="265">
      <pivotArea type="data" outline="0" fieldPosition="0">
        <references count="2">
          <reference field="4294967294" count="1" selected="0">
            <x v="1"/>
          </reference>
          <reference field="2" count="1" selected="0">
            <x v="0"/>
          </reference>
        </references>
      </pivotArea>
    </chartFormat>
    <chartFormat chart="2" format="266">
      <pivotArea type="data" outline="0" fieldPosition="0">
        <references count="2">
          <reference field="4294967294" count="1" selected="0">
            <x v="1"/>
          </reference>
          <reference field="2" count="1" selected="0">
            <x v="1"/>
          </reference>
        </references>
      </pivotArea>
    </chartFormat>
    <chartFormat chart="2" format="267">
      <pivotArea type="data" outline="0" fieldPosition="0">
        <references count="2">
          <reference field="4294967294" count="1" selected="0">
            <x v="1"/>
          </reference>
          <reference field="2" count="1" selected="0">
            <x v="2"/>
          </reference>
        </references>
      </pivotArea>
    </chartFormat>
    <chartFormat chart="2" format="268">
      <pivotArea type="data" outline="0" fieldPosition="0">
        <references count="2">
          <reference field="4294967294" count="1" selected="0">
            <x v="1"/>
          </reference>
          <reference field="2" count="1" selected="0">
            <x v="3"/>
          </reference>
        </references>
      </pivotArea>
    </chartFormat>
    <chartFormat chart="2" format="269">
      <pivotArea type="data" outline="0" fieldPosition="0">
        <references count="2">
          <reference field="4294967294" count="1" selected="0">
            <x v="1"/>
          </reference>
          <reference field="2" count="1" selected="0">
            <x v="4"/>
          </reference>
        </references>
      </pivotArea>
    </chartFormat>
    <chartFormat chart="2" format="270">
      <pivotArea type="data" outline="0" fieldPosition="0">
        <references count="2">
          <reference field="4294967294" count="1" selected="0">
            <x v="1"/>
          </reference>
          <reference field="2" count="1" selected="0">
            <x v="5"/>
          </reference>
        </references>
      </pivotArea>
    </chartFormat>
    <chartFormat chart="2" format="271">
      <pivotArea type="data" outline="0" fieldPosition="0">
        <references count="2">
          <reference field="4294967294" count="1" selected="0">
            <x v="1"/>
          </reference>
          <reference field="2" count="1" selected="0">
            <x v="6"/>
          </reference>
        </references>
      </pivotArea>
    </chartFormat>
    <chartFormat chart="2" format="272">
      <pivotArea type="data" outline="0" fieldPosition="0">
        <references count="2">
          <reference field="4294967294" count="1" selected="0">
            <x v="1"/>
          </reference>
          <reference field="2" count="1" selected="0">
            <x v="7"/>
          </reference>
        </references>
      </pivotArea>
    </chartFormat>
    <chartFormat chart="2" format="273">
      <pivotArea type="data" outline="0" fieldPosition="0">
        <references count="2">
          <reference field="4294967294" count="1" selected="0">
            <x v="1"/>
          </reference>
          <reference field="2" count="1" selected="0">
            <x v="8"/>
          </reference>
        </references>
      </pivotArea>
    </chartFormat>
    <chartFormat chart="2" format="274">
      <pivotArea type="data" outline="0" fieldPosition="0">
        <references count="2">
          <reference field="4294967294" count="1" selected="0">
            <x v="1"/>
          </reference>
          <reference field="2" count="1" selected="0">
            <x v="9"/>
          </reference>
        </references>
      </pivotArea>
    </chartFormat>
    <chartFormat chart="2" format="275">
      <pivotArea type="data" outline="0" fieldPosition="0">
        <references count="2">
          <reference field="4294967294" count="1" selected="0">
            <x v="1"/>
          </reference>
          <reference field="2" count="1" selected="0">
            <x v="10"/>
          </reference>
        </references>
      </pivotArea>
    </chartFormat>
    <chartFormat chart="2" format="276">
      <pivotArea type="data" outline="0" fieldPosition="0">
        <references count="2">
          <reference field="4294967294" count="1" selected="0">
            <x v="1"/>
          </reference>
          <reference field="2" count="1" selected="0">
            <x v="11"/>
          </reference>
        </references>
      </pivotArea>
    </chartFormat>
    <chartFormat chart="2" format="277">
      <pivotArea type="data" outline="0" fieldPosition="0">
        <references count="2">
          <reference field="4294967294" count="1" selected="0">
            <x v="1"/>
          </reference>
          <reference field="2" count="1" selected="0">
            <x v="12"/>
          </reference>
        </references>
      </pivotArea>
    </chartFormat>
    <chartFormat chart="2" format="278">
      <pivotArea type="data" outline="0" fieldPosition="0">
        <references count="2">
          <reference field="4294967294" count="1" selected="0">
            <x v="1"/>
          </reference>
          <reference field="2" count="1" selected="0">
            <x v="13"/>
          </reference>
        </references>
      </pivotArea>
    </chartFormat>
    <chartFormat chart="2" format="279">
      <pivotArea type="data" outline="0" fieldPosition="0">
        <references count="2">
          <reference field="4294967294" count="1" selected="0">
            <x v="1"/>
          </reference>
          <reference field="2" count="1" selected="0">
            <x v="14"/>
          </reference>
        </references>
      </pivotArea>
    </chartFormat>
    <chartFormat chart="2" format="280">
      <pivotArea type="data" outline="0" fieldPosition="0">
        <references count="2">
          <reference field="4294967294" count="1" selected="0">
            <x v="1"/>
          </reference>
          <reference field="2" count="1" selected="0">
            <x v="15"/>
          </reference>
        </references>
      </pivotArea>
    </chartFormat>
    <chartFormat chart="2" format="281">
      <pivotArea type="data" outline="0" fieldPosition="0">
        <references count="2">
          <reference field="4294967294" count="1" selected="0">
            <x v="1"/>
          </reference>
          <reference field="2" count="1" selected="0">
            <x v="16"/>
          </reference>
        </references>
      </pivotArea>
    </chartFormat>
    <chartFormat chart="2" format="282">
      <pivotArea type="data" outline="0" fieldPosition="0">
        <references count="2">
          <reference field="4294967294" count="1" selected="0">
            <x v="1"/>
          </reference>
          <reference field="2" count="1" selected="0">
            <x v="17"/>
          </reference>
        </references>
      </pivotArea>
    </chartFormat>
    <chartFormat chart="2" format="283">
      <pivotArea type="data" outline="0" fieldPosition="0">
        <references count="2">
          <reference field="4294967294" count="1" selected="0">
            <x v="1"/>
          </reference>
          <reference field="2" count="1" selected="0">
            <x v="18"/>
          </reference>
        </references>
      </pivotArea>
    </chartFormat>
    <chartFormat chart="2" format="284">
      <pivotArea type="data" outline="0" fieldPosition="0">
        <references count="2">
          <reference field="4294967294" count="1" selected="0">
            <x v="1"/>
          </reference>
          <reference field="2" count="1" selected="0">
            <x v="19"/>
          </reference>
        </references>
      </pivotArea>
    </chartFormat>
    <chartFormat chart="2" format="285">
      <pivotArea type="data" outline="0" fieldPosition="0">
        <references count="2">
          <reference field="4294967294" count="1" selected="0">
            <x v="1"/>
          </reference>
          <reference field="2" count="1" selected="0">
            <x v="20"/>
          </reference>
        </references>
      </pivotArea>
    </chartFormat>
    <chartFormat chart="2" format="286">
      <pivotArea type="data" outline="0" fieldPosition="0">
        <references count="2">
          <reference field="4294967294" count="1" selected="0">
            <x v="1"/>
          </reference>
          <reference field="2" count="1" selected="0">
            <x v="21"/>
          </reference>
        </references>
      </pivotArea>
    </chartFormat>
    <chartFormat chart="2" format="287">
      <pivotArea type="data" outline="0" fieldPosition="0">
        <references count="2">
          <reference field="4294967294" count="1" selected="0">
            <x v="1"/>
          </reference>
          <reference field="2" count="1" selected="0">
            <x v="22"/>
          </reference>
        </references>
      </pivotArea>
    </chartFormat>
    <chartFormat chart="2" format="288">
      <pivotArea type="data" outline="0" fieldPosition="0">
        <references count="2">
          <reference field="4294967294" count="1" selected="0">
            <x v="1"/>
          </reference>
          <reference field="2" count="1" selected="0">
            <x v="23"/>
          </reference>
        </references>
      </pivotArea>
    </chartFormat>
    <chartFormat chart="2" format="289">
      <pivotArea type="data" outline="0" fieldPosition="0">
        <references count="2">
          <reference field="4294967294" count="1" selected="0">
            <x v="1"/>
          </reference>
          <reference field="2" count="1" selected="0">
            <x v="24"/>
          </reference>
        </references>
      </pivotArea>
    </chartFormat>
    <chartFormat chart="2" format="290">
      <pivotArea type="data" outline="0" fieldPosition="0">
        <references count="2">
          <reference field="4294967294" count="1" selected="0">
            <x v="1"/>
          </reference>
          <reference field="2" count="1" selected="0">
            <x v="25"/>
          </reference>
        </references>
      </pivotArea>
    </chartFormat>
    <chartFormat chart="2" format="291">
      <pivotArea type="data" outline="0" fieldPosition="0">
        <references count="2">
          <reference field="4294967294" count="1" selected="0">
            <x v="1"/>
          </reference>
          <reference field="2" count="1" selected="0">
            <x v="26"/>
          </reference>
        </references>
      </pivotArea>
    </chartFormat>
    <chartFormat chart="2" format="292">
      <pivotArea type="data" outline="0" fieldPosition="0">
        <references count="2">
          <reference field="4294967294" count="1" selected="0">
            <x v="1"/>
          </reference>
          <reference field="2" count="1" selected="0">
            <x v="27"/>
          </reference>
        </references>
      </pivotArea>
    </chartFormat>
    <chartFormat chart="2" format="293">
      <pivotArea type="data" outline="0" fieldPosition="0">
        <references count="2">
          <reference field="4294967294" count="1" selected="0">
            <x v="1"/>
          </reference>
          <reference field="2" count="1" selected="0">
            <x v="28"/>
          </reference>
        </references>
      </pivotArea>
    </chartFormat>
    <chartFormat chart="2" format="294">
      <pivotArea type="data" outline="0" fieldPosition="0">
        <references count="2">
          <reference field="4294967294" count="1" selected="0">
            <x v="1"/>
          </reference>
          <reference field="2" count="1" selected="0">
            <x v="29"/>
          </reference>
        </references>
      </pivotArea>
    </chartFormat>
    <chartFormat chart="2" format="295">
      <pivotArea type="data" outline="0" fieldPosition="0">
        <references count="2">
          <reference field="4294967294" count="1" selected="0">
            <x v="1"/>
          </reference>
          <reference field="2" count="1" selected="0">
            <x v="30"/>
          </reference>
        </references>
      </pivotArea>
    </chartFormat>
    <chartFormat chart="2" format="296">
      <pivotArea type="data" outline="0" fieldPosition="0">
        <references count="2">
          <reference field="4294967294" count="1" selected="0">
            <x v="1"/>
          </reference>
          <reference field="2" count="1" selected="0">
            <x v="31"/>
          </reference>
        </references>
      </pivotArea>
    </chartFormat>
    <chartFormat chart="2" format="297">
      <pivotArea type="data" outline="0" fieldPosition="0">
        <references count="2">
          <reference field="4294967294" count="1" selected="0">
            <x v="1"/>
          </reference>
          <reference field="2" count="1" selected="0">
            <x v="32"/>
          </reference>
        </references>
      </pivotArea>
    </chartFormat>
    <chartFormat chart="2" format="298">
      <pivotArea type="data" outline="0" fieldPosition="0">
        <references count="2">
          <reference field="4294967294" count="1" selected="0">
            <x v="1"/>
          </reference>
          <reference field="2" count="1" selected="0">
            <x v="33"/>
          </reference>
        </references>
      </pivotArea>
    </chartFormat>
    <chartFormat chart="2" format="299">
      <pivotArea type="data" outline="0" fieldPosition="0">
        <references count="2">
          <reference field="4294967294" count="1" selected="0">
            <x v="1"/>
          </reference>
          <reference field="2" count="1" selected="0">
            <x v="34"/>
          </reference>
        </references>
      </pivotArea>
    </chartFormat>
    <chartFormat chart="2" format="300">
      <pivotArea type="data" outline="0" fieldPosition="0">
        <references count="2">
          <reference field="4294967294" count="1" selected="0">
            <x v="1"/>
          </reference>
          <reference field="2" count="1" selected="0">
            <x v="35"/>
          </reference>
        </references>
      </pivotArea>
    </chartFormat>
    <chartFormat chart="2" format="301">
      <pivotArea type="data" outline="0" fieldPosition="0">
        <references count="2">
          <reference field="4294967294" count="1" selected="0">
            <x v="1"/>
          </reference>
          <reference field="2" count="1" selected="0">
            <x v="36"/>
          </reference>
        </references>
      </pivotArea>
    </chartFormat>
    <chartFormat chart="2" format="302">
      <pivotArea type="data" outline="0" fieldPosition="0">
        <references count="2">
          <reference field="4294967294" count="1" selected="0">
            <x v="1"/>
          </reference>
          <reference field="2" count="1" selected="0">
            <x v="37"/>
          </reference>
        </references>
      </pivotArea>
    </chartFormat>
    <chartFormat chart="2" format="303">
      <pivotArea type="data" outline="0" fieldPosition="0">
        <references count="2">
          <reference field="4294967294" count="1" selected="0">
            <x v="1"/>
          </reference>
          <reference field="2" count="1" selected="0">
            <x v="38"/>
          </reference>
        </references>
      </pivotArea>
    </chartFormat>
    <chartFormat chart="2" format="304">
      <pivotArea type="data" outline="0" fieldPosition="0">
        <references count="2">
          <reference field="4294967294" count="1" selected="0">
            <x v="1"/>
          </reference>
          <reference field="2" count="1" selected="0">
            <x v="39"/>
          </reference>
        </references>
      </pivotArea>
    </chartFormat>
    <chartFormat chart="2" format="305">
      <pivotArea type="data" outline="0" fieldPosition="0">
        <references count="2">
          <reference field="4294967294" count="1" selected="0">
            <x v="1"/>
          </reference>
          <reference field="2" count="1" selected="0">
            <x v="40"/>
          </reference>
        </references>
      </pivotArea>
    </chartFormat>
    <chartFormat chart="2" format="306">
      <pivotArea type="data" outline="0" fieldPosition="0">
        <references count="2">
          <reference field="4294967294" count="1" selected="0">
            <x v="1"/>
          </reference>
          <reference field="2" count="1" selected="0">
            <x v="41"/>
          </reference>
        </references>
      </pivotArea>
    </chartFormat>
    <chartFormat chart="2" format="307">
      <pivotArea type="data" outline="0" fieldPosition="0">
        <references count="2">
          <reference field="4294967294" count="1" selected="0">
            <x v="1"/>
          </reference>
          <reference field="2" count="1" selected="0">
            <x v="42"/>
          </reference>
        </references>
      </pivotArea>
    </chartFormat>
    <chartFormat chart="2" format="308">
      <pivotArea type="data" outline="0" fieldPosition="0">
        <references count="2">
          <reference field="4294967294" count="1" selected="0">
            <x v="1"/>
          </reference>
          <reference field="2" count="1" selected="0">
            <x v="43"/>
          </reference>
        </references>
      </pivotArea>
    </chartFormat>
    <chartFormat chart="2" format="309">
      <pivotArea type="data" outline="0" fieldPosition="0">
        <references count="2">
          <reference field="4294967294" count="1" selected="0">
            <x v="1"/>
          </reference>
          <reference field="2" count="1" selected="0">
            <x v="44"/>
          </reference>
        </references>
      </pivotArea>
    </chartFormat>
    <chartFormat chart="2" format="310">
      <pivotArea type="data" outline="0" fieldPosition="0">
        <references count="2">
          <reference field="4294967294" count="1" selected="0">
            <x v="1"/>
          </reference>
          <reference field="2" count="1" selected="0">
            <x v="45"/>
          </reference>
        </references>
      </pivotArea>
    </chartFormat>
    <chartFormat chart="2" format="311">
      <pivotArea type="data" outline="0" fieldPosition="0">
        <references count="2">
          <reference field="4294967294" count="1" selected="0">
            <x v="1"/>
          </reference>
          <reference field="2" count="1" selected="0">
            <x v="46"/>
          </reference>
        </references>
      </pivotArea>
    </chartFormat>
    <chartFormat chart="2" format="312">
      <pivotArea type="data" outline="0" fieldPosition="0">
        <references count="2">
          <reference field="4294967294" count="1" selected="0">
            <x v="1"/>
          </reference>
          <reference field="2" count="1" selected="0">
            <x v="47"/>
          </reference>
        </references>
      </pivotArea>
    </chartFormat>
    <chartFormat chart="2" format="313">
      <pivotArea type="data" outline="0" fieldPosition="0">
        <references count="2">
          <reference field="4294967294" count="1" selected="0">
            <x v="1"/>
          </reference>
          <reference field="2" count="1" selected="0">
            <x v="48"/>
          </reference>
        </references>
      </pivotArea>
    </chartFormat>
    <chartFormat chart="2" format="314">
      <pivotArea type="data" outline="0" fieldPosition="0">
        <references count="2">
          <reference field="4294967294" count="1" selected="0">
            <x v="1"/>
          </reference>
          <reference field="2" count="1" selected="0">
            <x v="49"/>
          </reference>
        </references>
      </pivotArea>
    </chartFormat>
    <chartFormat chart="2" format="315">
      <pivotArea type="data" outline="0" fieldPosition="0">
        <references count="2">
          <reference field="4294967294" count="1" selected="0">
            <x v="1"/>
          </reference>
          <reference field="2" count="1" selected="0">
            <x v="50"/>
          </reference>
        </references>
      </pivotArea>
    </chartFormat>
    <chartFormat chart="2" format="316" series="1">
      <pivotArea type="data" outline="0" fieldPosition="0">
        <references count="1">
          <reference field="4294967294" count="1" selected="0">
            <x v="2"/>
          </reference>
        </references>
      </pivotArea>
    </chartFormat>
    <chartFormat chart="2" format="317">
      <pivotArea type="data" outline="0" fieldPosition="0">
        <references count="2">
          <reference field="4294967294" count="1" selected="0">
            <x v="2"/>
          </reference>
          <reference field="2" count="1" selected="0">
            <x v="0"/>
          </reference>
        </references>
      </pivotArea>
    </chartFormat>
    <chartFormat chart="2" format="318">
      <pivotArea type="data" outline="0" fieldPosition="0">
        <references count="2">
          <reference field="4294967294" count="1" selected="0">
            <x v="2"/>
          </reference>
          <reference field="2" count="1" selected="0">
            <x v="1"/>
          </reference>
        </references>
      </pivotArea>
    </chartFormat>
    <chartFormat chart="2" format="319">
      <pivotArea type="data" outline="0" fieldPosition="0">
        <references count="2">
          <reference field="4294967294" count="1" selected="0">
            <x v="2"/>
          </reference>
          <reference field="2" count="1" selected="0">
            <x v="2"/>
          </reference>
        </references>
      </pivotArea>
    </chartFormat>
    <chartFormat chart="2" format="320">
      <pivotArea type="data" outline="0" fieldPosition="0">
        <references count="2">
          <reference field="4294967294" count="1" selected="0">
            <x v="2"/>
          </reference>
          <reference field="2" count="1" selected="0">
            <x v="3"/>
          </reference>
        </references>
      </pivotArea>
    </chartFormat>
    <chartFormat chart="2" format="321">
      <pivotArea type="data" outline="0" fieldPosition="0">
        <references count="2">
          <reference field="4294967294" count="1" selected="0">
            <x v="2"/>
          </reference>
          <reference field="2" count="1" selected="0">
            <x v="4"/>
          </reference>
        </references>
      </pivotArea>
    </chartFormat>
    <chartFormat chart="2" format="322">
      <pivotArea type="data" outline="0" fieldPosition="0">
        <references count="2">
          <reference field="4294967294" count="1" selected="0">
            <x v="2"/>
          </reference>
          <reference field="2" count="1" selected="0">
            <x v="5"/>
          </reference>
        </references>
      </pivotArea>
    </chartFormat>
    <chartFormat chart="2" format="323">
      <pivotArea type="data" outline="0" fieldPosition="0">
        <references count="2">
          <reference field="4294967294" count="1" selected="0">
            <x v="2"/>
          </reference>
          <reference field="2" count="1" selected="0">
            <x v="6"/>
          </reference>
        </references>
      </pivotArea>
    </chartFormat>
    <chartFormat chart="2" format="324">
      <pivotArea type="data" outline="0" fieldPosition="0">
        <references count="2">
          <reference field="4294967294" count="1" selected="0">
            <x v="2"/>
          </reference>
          <reference field="2" count="1" selected="0">
            <x v="7"/>
          </reference>
        </references>
      </pivotArea>
    </chartFormat>
    <chartFormat chart="2" format="325">
      <pivotArea type="data" outline="0" fieldPosition="0">
        <references count="2">
          <reference field="4294967294" count="1" selected="0">
            <x v="2"/>
          </reference>
          <reference field="2" count="1" selected="0">
            <x v="8"/>
          </reference>
        </references>
      </pivotArea>
    </chartFormat>
    <chartFormat chart="2" format="326">
      <pivotArea type="data" outline="0" fieldPosition="0">
        <references count="2">
          <reference field="4294967294" count="1" selected="0">
            <x v="2"/>
          </reference>
          <reference field="2" count="1" selected="0">
            <x v="9"/>
          </reference>
        </references>
      </pivotArea>
    </chartFormat>
    <chartFormat chart="2" format="327">
      <pivotArea type="data" outline="0" fieldPosition="0">
        <references count="2">
          <reference field="4294967294" count="1" selected="0">
            <x v="2"/>
          </reference>
          <reference field="2" count="1" selected="0">
            <x v="10"/>
          </reference>
        </references>
      </pivotArea>
    </chartFormat>
    <chartFormat chart="2" format="328">
      <pivotArea type="data" outline="0" fieldPosition="0">
        <references count="2">
          <reference field="4294967294" count="1" selected="0">
            <x v="2"/>
          </reference>
          <reference field="2" count="1" selected="0">
            <x v="11"/>
          </reference>
        </references>
      </pivotArea>
    </chartFormat>
    <chartFormat chart="2" format="329">
      <pivotArea type="data" outline="0" fieldPosition="0">
        <references count="2">
          <reference field="4294967294" count="1" selected="0">
            <x v="2"/>
          </reference>
          <reference field="2" count="1" selected="0">
            <x v="12"/>
          </reference>
        </references>
      </pivotArea>
    </chartFormat>
    <chartFormat chart="2" format="330">
      <pivotArea type="data" outline="0" fieldPosition="0">
        <references count="2">
          <reference field="4294967294" count="1" selected="0">
            <x v="2"/>
          </reference>
          <reference field="2" count="1" selected="0">
            <x v="13"/>
          </reference>
        </references>
      </pivotArea>
    </chartFormat>
    <chartFormat chart="2" format="331">
      <pivotArea type="data" outline="0" fieldPosition="0">
        <references count="2">
          <reference field="4294967294" count="1" selected="0">
            <x v="2"/>
          </reference>
          <reference field="2" count="1" selected="0">
            <x v="14"/>
          </reference>
        </references>
      </pivotArea>
    </chartFormat>
    <chartFormat chart="2" format="332">
      <pivotArea type="data" outline="0" fieldPosition="0">
        <references count="2">
          <reference field="4294967294" count="1" selected="0">
            <x v="2"/>
          </reference>
          <reference field="2" count="1" selected="0">
            <x v="15"/>
          </reference>
        </references>
      </pivotArea>
    </chartFormat>
    <chartFormat chart="2" format="333">
      <pivotArea type="data" outline="0" fieldPosition="0">
        <references count="2">
          <reference field="4294967294" count="1" selected="0">
            <x v="2"/>
          </reference>
          <reference field="2" count="1" selected="0">
            <x v="16"/>
          </reference>
        </references>
      </pivotArea>
    </chartFormat>
    <chartFormat chart="2" format="334">
      <pivotArea type="data" outline="0" fieldPosition="0">
        <references count="2">
          <reference field="4294967294" count="1" selected="0">
            <x v="2"/>
          </reference>
          <reference field="2" count="1" selected="0">
            <x v="17"/>
          </reference>
        </references>
      </pivotArea>
    </chartFormat>
    <chartFormat chart="2" format="335">
      <pivotArea type="data" outline="0" fieldPosition="0">
        <references count="2">
          <reference field="4294967294" count="1" selected="0">
            <x v="2"/>
          </reference>
          <reference field="2" count="1" selected="0">
            <x v="18"/>
          </reference>
        </references>
      </pivotArea>
    </chartFormat>
    <chartFormat chart="2" format="336">
      <pivotArea type="data" outline="0" fieldPosition="0">
        <references count="2">
          <reference field="4294967294" count="1" selected="0">
            <x v="2"/>
          </reference>
          <reference field="2" count="1" selected="0">
            <x v="19"/>
          </reference>
        </references>
      </pivotArea>
    </chartFormat>
    <chartFormat chart="2" format="337">
      <pivotArea type="data" outline="0" fieldPosition="0">
        <references count="2">
          <reference field="4294967294" count="1" selected="0">
            <x v="2"/>
          </reference>
          <reference field="2" count="1" selected="0">
            <x v="20"/>
          </reference>
        </references>
      </pivotArea>
    </chartFormat>
    <chartFormat chart="2" format="338">
      <pivotArea type="data" outline="0" fieldPosition="0">
        <references count="2">
          <reference field="4294967294" count="1" selected="0">
            <x v="2"/>
          </reference>
          <reference field="2" count="1" selected="0">
            <x v="21"/>
          </reference>
        </references>
      </pivotArea>
    </chartFormat>
    <chartFormat chart="2" format="339">
      <pivotArea type="data" outline="0" fieldPosition="0">
        <references count="2">
          <reference field="4294967294" count="1" selected="0">
            <x v="2"/>
          </reference>
          <reference field="2" count="1" selected="0">
            <x v="22"/>
          </reference>
        </references>
      </pivotArea>
    </chartFormat>
    <chartFormat chart="2" format="340">
      <pivotArea type="data" outline="0" fieldPosition="0">
        <references count="2">
          <reference field="4294967294" count="1" selected="0">
            <x v="2"/>
          </reference>
          <reference field="2" count="1" selected="0">
            <x v="23"/>
          </reference>
        </references>
      </pivotArea>
    </chartFormat>
    <chartFormat chart="2" format="341">
      <pivotArea type="data" outline="0" fieldPosition="0">
        <references count="2">
          <reference field="4294967294" count="1" selected="0">
            <x v="2"/>
          </reference>
          <reference field="2" count="1" selected="0">
            <x v="24"/>
          </reference>
        </references>
      </pivotArea>
    </chartFormat>
    <chartFormat chart="2" format="342">
      <pivotArea type="data" outline="0" fieldPosition="0">
        <references count="2">
          <reference field="4294967294" count="1" selected="0">
            <x v="2"/>
          </reference>
          <reference field="2" count="1" selected="0">
            <x v="25"/>
          </reference>
        </references>
      </pivotArea>
    </chartFormat>
    <chartFormat chart="2" format="343">
      <pivotArea type="data" outline="0" fieldPosition="0">
        <references count="2">
          <reference field="4294967294" count="1" selected="0">
            <x v="2"/>
          </reference>
          <reference field="2" count="1" selected="0">
            <x v="26"/>
          </reference>
        </references>
      </pivotArea>
    </chartFormat>
    <chartFormat chart="2" format="344">
      <pivotArea type="data" outline="0" fieldPosition="0">
        <references count="2">
          <reference field="4294967294" count="1" selected="0">
            <x v="2"/>
          </reference>
          <reference field="2" count="1" selected="0">
            <x v="27"/>
          </reference>
        </references>
      </pivotArea>
    </chartFormat>
    <chartFormat chart="2" format="345">
      <pivotArea type="data" outline="0" fieldPosition="0">
        <references count="2">
          <reference field="4294967294" count="1" selected="0">
            <x v="2"/>
          </reference>
          <reference field="2" count="1" selected="0">
            <x v="28"/>
          </reference>
        </references>
      </pivotArea>
    </chartFormat>
    <chartFormat chart="2" format="346">
      <pivotArea type="data" outline="0" fieldPosition="0">
        <references count="2">
          <reference field="4294967294" count="1" selected="0">
            <x v="2"/>
          </reference>
          <reference field="2" count="1" selected="0">
            <x v="29"/>
          </reference>
        </references>
      </pivotArea>
    </chartFormat>
    <chartFormat chart="2" format="347">
      <pivotArea type="data" outline="0" fieldPosition="0">
        <references count="2">
          <reference field="4294967294" count="1" selected="0">
            <x v="2"/>
          </reference>
          <reference field="2" count="1" selected="0">
            <x v="30"/>
          </reference>
        </references>
      </pivotArea>
    </chartFormat>
    <chartFormat chart="2" format="348">
      <pivotArea type="data" outline="0" fieldPosition="0">
        <references count="2">
          <reference field="4294967294" count="1" selected="0">
            <x v="2"/>
          </reference>
          <reference field="2" count="1" selected="0">
            <x v="31"/>
          </reference>
        </references>
      </pivotArea>
    </chartFormat>
    <chartFormat chart="2" format="349">
      <pivotArea type="data" outline="0" fieldPosition="0">
        <references count="2">
          <reference field="4294967294" count="1" selected="0">
            <x v="2"/>
          </reference>
          <reference field="2" count="1" selected="0">
            <x v="32"/>
          </reference>
        </references>
      </pivotArea>
    </chartFormat>
    <chartFormat chart="2" format="350">
      <pivotArea type="data" outline="0" fieldPosition="0">
        <references count="2">
          <reference field="4294967294" count="1" selected="0">
            <x v="2"/>
          </reference>
          <reference field="2" count="1" selected="0">
            <x v="33"/>
          </reference>
        </references>
      </pivotArea>
    </chartFormat>
    <chartFormat chart="2" format="351">
      <pivotArea type="data" outline="0" fieldPosition="0">
        <references count="2">
          <reference field="4294967294" count="1" selected="0">
            <x v="2"/>
          </reference>
          <reference field="2" count="1" selected="0">
            <x v="34"/>
          </reference>
        </references>
      </pivotArea>
    </chartFormat>
    <chartFormat chart="2" format="352">
      <pivotArea type="data" outline="0" fieldPosition="0">
        <references count="2">
          <reference field="4294967294" count="1" selected="0">
            <x v="2"/>
          </reference>
          <reference field="2" count="1" selected="0">
            <x v="35"/>
          </reference>
        </references>
      </pivotArea>
    </chartFormat>
    <chartFormat chart="2" format="353">
      <pivotArea type="data" outline="0" fieldPosition="0">
        <references count="2">
          <reference field="4294967294" count="1" selected="0">
            <x v="2"/>
          </reference>
          <reference field="2" count="1" selected="0">
            <x v="36"/>
          </reference>
        </references>
      </pivotArea>
    </chartFormat>
    <chartFormat chart="2" format="354">
      <pivotArea type="data" outline="0" fieldPosition="0">
        <references count="2">
          <reference field="4294967294" count="1" selected="0">
            <x v="2"/>
          </reference>
          <reference field="2" count="1" selected="0">
            <x v="37"/>
          </reference>
        </references>
      </pivotArea>
    </chartFormat>
    <chartFormat chart="2" format="355">
      <pivotArea type="data" outline="0" fieldPosition="0">
        <references count="2">
          <reference field="4294967294" count="1" selected="0">
            <x v="2"/>
          </reference>
          <reference field="2" count="1" selected="0">
            <x v="38"/>
          </reference>
        </references>
      </pivotArea>
    </chartFormat>
    <chartFormat chart="2" format="356">
      <pivotArea type="data" outline="0" fieldPosition="0">
        <references count="2">
          <reference field="4294967294" count="1" selected="0">
            <x v="2"/>
          </reference>
          <reference field="2" count="1" selected="0">
            <x v="39"/>
          </reference>
        </references>
      </pivotArea>
    </chartFormat>
    <chartFormat chart="2" format="357">
      <pivotArea type="data" outline="0" fieldPosition="0">
        <references count="2">
          <reference field="4294967294" count="1" selected="0">
            <x v="2"/>
          </reference>
          <reference field="2" count="1" selected="0">
            <x v="40"/>
          </reference>
        </references>
      </pivotArea>
    </chartFormat>
    <chartFormat chart="2" format="358">
      <pivotArea type="data" outline="0" fieldPosition="0">
        <references count="2">
          <reference field="4294967294" count="1" selected="0">
            <x v="2"/>
          </reference>
          <reference field="2" count="1" selected="0">
            <x v="41"/>
          </reference>
        </references>
      </pivotArea>
    </chartFormat>
    <chartFormat chart="2" format="359">
      <pivotArea type="data" outline="0" fieldPosition="0">
        <references count="2">
          <reference field="4294967294" count="1" selected="0">
            <x v="2"/>
          </reference>
          <reference field="2" count="1" selected="0">
            <x v="42"/>
          </reference>
        </references>
      </pivotArea>
    </chartFormat>
    <chartFormat chart="2" format="360">
      <pivotArea type="data" outline="0" fieldPosition="0">
        <references count="2">
          <reference field="4294967294" count="1" selected="0">
            <x v="2"/>
          </reference>
          <reference field="2" count="1" selected="0">
            <x v="43"/>
          </reference>
        </references>
      </pivotArea>
    </chartFormat>
    <chartFormat chart="2" format="361">
      <pivotArea type="data" outline="0" fieldPosition="0">
        <references count="2">
          <reference field="4294967294" count="1" selected="0">
            <x v="2"/>
          </reference>
          <reference field="2" count="1" selected="0">
            <x v="44"/>
          </reference>
        </references>
      </pivotArea>
    </chartFormat>
    <chartFormat chart="2" format="362">
      <pivotArea type="data" outline="0" fieldPosition="0">
        <references count="2">
          <reference field="4294967294" count="1" selected="0">
            <x v="2"/>
          </reference>
          <reference field="2" count="1" selected="0">
            <x v="45"/>
          </reference>
        </references>
      </pivotArea>
    </chartFormat>
    <chartFormat chart="2" format="363">
      <pivotArea type="data" outline="0" fieldPosition="0">
        <references count="2">
          <reference field="4294967294" count="1" selected="0">
            <x v="2"/>
          </reference>
          <reference field="2" count="1" selected="0">
            <x v="46"/>
          </reference>
        </references>
      </pivotArea>
    </chartFormat>
    <chartFormat chart="2" format="364">
      <pivotArea type="data" outline="0" fieldPosition="0">
        <references count="2">
          <reference field="4294967294" count="1" selected="0">
            <x v="2"/>
          </reference>
          <reference field="2" count="1" selected="0">
            <x v="47"/>
          </reference>
        </references>
      </pivotArea>
    </chartFormat>
    <chartFormat chart="2" format="365">
      <pivotArea type="data" outline="0" fieldPosition="0">
        <references count="2">
          <reference field="4294967294" count="1" selected="0">
            <x v="2"/>
          </reference>
          <reference field="2" count="1" selected="0">
            <x v="48"/>
          </reference>
        </references>
      </pivotArea>
    </chartFormat>
    <chartFormat chart="2" format="366">
      <pivotArea type="data" outline="0" fieldPosition="0">
        <references count="2">
          <reference field="4294967294" count="1" selected="0">
            <x v="2"/>
          </reference>
          <reference field="2" count="1" selected="0">
            <x v="49"/>
          </reference>
        </references>
      </pivotArea>
    </chartFormat>
    <chartFormat chart="2" format="367">
      <pivotArea type="data" outline="0" fieldPosition="0">
        <references count="2">
          <reference field="4294967294" count="1" selected="0">
            <x v="2"/>
          </reference>
          <reference field="2" count="1" selected="0">
            <x v="50"/>
          </reference>
        </references>
      </pivotArea>
    </chartFormat>
    <chartFormat chart="2" format="368" series="1">
      <pivotArea type="data" outline="0" fieldPosition="0">
        <references count="1">
          <reference field="4294967294" count="1" selected="0">
            <x v="3"/>
          </reference>
        </references>
      </pivotArea>
    </chartFormat>
    <chartFormat chart="2" format="369">
      <pivotArea type="data" outline="0" fieldPosition="0">
        <references count="2">
          <reference field="4294967294" count="1" selected="0">
            <x v="3"/>
          </reference>
          <reference field="2" count="1" selected="0">
            <x v="0"/>
          </reference>
        </references>
      </pivotArea>
    </chartFormat>
    <chartFormat chart="2" format="370">
      <pivotArea type="data" outline="0" fieldPosition="0">
        <references count="2">
          <reference field="4294967294" count="1" selected="0">
            <x v="3"/>
          </reference>
          <reference field="2" count="1" selected="0">
            <x v="1"/>
          </reference>
        </references>
      </pivotArea>
    </chartFormat>
    <chartFormat chart="2" format="371">
      <pivotArea type="data" outline="0" fieldPosition="0">
        <references count="2">
          <reference field="4294967294" count="1" selected="0">
            <x v="3"/>
          </reference>
          <reference field="2" count="1" selected="0">
            <x v="2"/>
          </reference>
        </references>
      </pivotArea>
    </chartFormat>
    <chartFormat chart="2" format="372">
      <pivotArea type="data" outline="0" fieldPosition="0">
        <references count="2">
          <reference field="4294967294" count="1" selected="0">
            <x v="3"/>
          </reference>
          <reference field="2" count="1" selected="0">
            <x v="3"/>
          </reference>
        </references>
      </pivotArea>
    </chartFormat>
    <chartFormat chart="2" format="373">
      <pivotArea type="data" outline="0" fieldPosition="0">
        <references count="2">
          <reference field="4294967294" count="1" selected="0">
            <x v="3"/>
          </reference>
          <reference field="2" count="1" selected="0">
            <x v="4"/>
          </reference>
        </references>
      </pivotArea>
    </chartFormat>
    <chartFormat chart="2" format="374">
      <pivotArea type="data" outline="0" fieldPosition="0">
        <references count="2">
          <reference field="4294967294" count="1" selected="0">
            <x v="3"/>
          </reference>
          <reference field="2" count="1" selected="0">
            <x v="5"/>
          </reference>
        </references>
      </pivotArea>
    </chartFormat>
    <chartFormat chart="2" format="375">
      <pivotArea type="data" outline="0" fieldPosition="0">
        <references count="2">
          <reference field="4294967294" count="1" selected="0">
            <x v="3"/>
          </reference>
          <reference field="2" count="1" selected="0">
            <x v="6"/>
          </reference>
        </references>
      </pivotArea>
    </chartFormat>
    <chartFormat chart="2" format="376">
      <pivotArea type="data" outline="0" fieldPosition="0">
        <references count="2">
          <reference field="4294967294" count="1" selected="0">
            <x v="3"/>
          </reference>
          <reference field="2" count="1" selected="0">
            <x v="7"/>
          </reference>
        </references>
      </pivotArea>
    </chartFormat>
    <chartFormat chart="2" format="377">
      <pivotArea type="data" outline="0" fieldPosition="0">
        <references count="2">
          <reference field="4294967294" count="1" selected="0">
            <x v="3"/>
          </reference>
          <reference field="2" count="1" selected="0">
            <x v="8"/>
          </reference>
        </references>
      </pivotArea>
    </chartFormat>
    <chartFormat chart="2" format="378">
      <pivotArea type="data" outline="0" fieldPosition="0">
        <references count="2">
          <reference field="4294967294" count="1" selected="0">
            <x v="3"/>
          </reference>
          <reference field="2" count="1" selected="0">
            <x v="9"/>
          </reference>
        </references>
      </pivotArea>
    </chartFormat>
    <chartFormat chart="2" format="379">
      <pivotArea type="data" outline="0" fieldPosition="0">
        <references count="2">
          <reference field="4294967294" count="1" selected="0">
            <x v="3"/>
          </reference>
          <reference field="2" count="1" selected="0">
            <x v="10"/>
          </reference>
        </references>
      </pivotArea>
    </chartFormat>
    <chartFormat chart="2" format="380">
      <pivotArea type="data" outline="0" fieldPosition="0">
        <references count="2">
          <reference field="4294967294" count="1" selected="0">
            <x v="3"/>
          </reference>
          <reference field="2" count="1" selected="0">
            <x v="11"/>
          </reference>
        </references>
      </pivotArea>
    </chartFormat>
    <chartFormat chart="2" format="381">
      <pivotArea type="data" outline="0" fieldPosition="0">
        <references count="2">
          <reference field="4294967294" count="1" selected="0">
            <x v="3"/>
          </reference>
          <reference field="2" count="1" selected="0">
            <x v="12"/>
          </reference>
        </references>
      </pivotArea>
    </chartFormat>
    <chartFormat chart="2" format="382">
      <pivotArea type="data" outline="0" fieldPosition="0">
        <references count="2">
          <reference field="4294967294" count="1" selected="0">
            <x v="3"/>
          </reference>
          <reference field="2" count="1" selected="0">
            <x v="13"/>
          </reference>
        </references>
      </pivotArea>
    </chartFormat>
    <chartFormat chart="2" format="383">
      <pivotArea type="data" outline="0" fieldPosition="0">
        <references count="2">
          <reference field="4294967294" count="1" selected="0">
            <x v="3"/>
          </reference>
          <reference field="2" count="1" selected="0">
            <x v="14"/>
          </reference>
        </references>
      </pivotArea>
    </chartFormat>
    <chartFormat chart="2" format="384">
      <pivotArea type="data" outline="0" fieldPosition="0">
        <references count="2">
          <reference field="4294967294" count="1" selected="0">
            <x v="3"/>
          </reference>
          <reference field="2" count="1" selected="0">
            <x v="15"/>
          </reference>
        </references>
      </pivotArea>
    </chartFormat>
    <chartFormat chart="2" format="385">
      <pivotArea type="data" outline="0" fieldPosition="0">
        <references count="2">
          <reference field="4294967294" count="1" selected="0">
            <x v="3"/>
          </reference>
          <reference field="2" count="1" selected="0">
            <x v="16"/>
          </reference>
        </references>
      </pivotArea>
    </chartFormat>
    <chartFormat chart="2" format="386">
      <pivotArea type="data" outline="0" fieldPosition="0">
        <references count="2">
          <reference field="4294967294" count="1" selected="0">
            <x v="3"/>
          </reference>
          <reference field="2" count="1" selected="0">
            <x v="17"/>
          </reference>
        </references>
      </pivotArea>
    </chartFormat>
    <chartFormat chart="2" format="387">
      <pivotArea type="data" outline="0" fieldPosition="0">
        <references count="2">
          <reference field="4294967294" count="1" selected="0">
            <x v="3"/>
          </reference>
          <reference field="2" count="1" selected="0">
            <x v="18"/>
          </reference>
        </references>
      </pivotArea>
    </chartFormat>
    <chartFormat chart="2" format="388">
      <pivotArea type="data" outline="0" fieldPosition="0">
        <references count="2">
          <reference field="4294967294" count="1" selected="0">
            <x v="3"/>
          </reference>
          <reference field="2" count="1" selected="0">
            <x v="19"/>
          </reference>
        </references>
      </pivotArea>
    </chartFormat>
    <chartFormat chart="2" format="389">
      <pivotArea type="data" outline="0" fieldPosition="0">
        <references count="2">
          <reference field="4294967294" count="1" selected="0">
            <x v="3"/>
          </reference>
          <reference field="2" count="1" selected="0">
            <x v="20"/>
          </reference>
        </references>
      </pivotArea>
    </chartFormat>
    <chartFormat chart="2" format="390">
      <pivotArea type="data" outline="0" fieldPosition="0">
        <references count="2">
          <reference field="4294967294" count="1" selected="0">
            <x v="3"/>
          </reference>
          <reference field="2" count="1" selected="0">
            <x v="21"/>
          </reference>
        </references>
      </pivotArea>
    </chartFormat>
    <chartFormat chart="2" format="391">
      <pivotArea type="data" outline="0" fieldPosition="0">
        <references count="2">
          <reference field="4294967294" count="1" selected="0">
            <x v="3"/>
          </reference>
          <reference field="2" count="1" selected="0">
            <x v="22"/>
          </reference>
        </references>
      </pivotArea>
    </chartFormat>
    <chartFormat chart="2" format="392">
      <pivotArea type="data" outline="0" fieldPosition="0">
        <references count="2">
          <reference field="4294967294" count="1" selected="0">
            <x v="3"/>
          </reference>
          <reference field="2" count="1" selected="0">
            <x v="23"/>
          </reference>
        </references>
      </pivotArea>
    </chartFormat>
    <chartFormat chart="2" format="393">
      <pivotArea type="data" outline="0" fieldPosition="0">
        <references count="2">
          <reference field="4294967294" count="1" selected="0">
            <x v="3"/>
          </reference>
          <reference field="2" count="1" selected="0">
            <x v="24"/>
          </reference>
        </references>
      </pivotArea>
    </chartFormat>
    <chartFormat chart="2" format="394">
      <pivotArea type="data" outline="0" fieldPosition="0">
        <references count="2">
          <reference field="4294967294" count="1" selected="0">
            <x v="3"/>
          </reference>
          <reference field="2" count="1" selected="0">
            <x v="25"/>
          </reference>
        </references>
      </pivotArea>
    </chartFormat>
    <chartFormat chart="2" format="395">
      <pivotArea type="data" outline="0" fieldPosition="0">
        <references count="2">
          <reference field="4294967294" count="1" selected="0">
            <x v="3"/>
          </reference>
          <reference field="2" count="1" selected="0">
            <x v="26"/>
          </reference>
        </references>
      </pivotArea>
    </chartFormat>
    <chartFormat chart="2" format="396">
      <pivotArea type="data" outline="0" fieldPosition="0">
        <references count="2">
          <reference field="4294967294" count="1" selected="0">
            <x v="3"/>
          </reference>
          <reference field="2" count="1" selected="0">
            <x v="27"/>
          </reference>
        </references>
      </pivotArea>
    </chartFormat>
    <chartFormat chart="2" format="397">
      <pivotArea type="data" outline="0" fieldPosition="0">
        <references count="2">
          <reference field="4294967294" count="1" selected="0">
            <x v="3"/>
          </reference>
          <reference field="2" count="1" selected="0">
            <x v="28"/>
          </reference>
        </references>
      </pivotArea>
    </chartFormat>
    <chartFormat chart="2" format="398">
      <pivotArea type="data" outline="0" fieldPosition="0">
        <references count="2">
          <reference field="4294967294" count="1" selected="0">
            <x v="3"/>
          </reference>
          <reference field="2" count="1" selected="0">
            <x v="29"/>
          </reference>
        </references>
      </pivotArea>
    </chartFormat>
    <chartFormat chart="2" format="399">
      <pivotArea type="data" outline="0" fieldPosition="0">
        <references count="2">
          <reference field="4294967294" count="1" selected="0">
            <x v="3"/>
          </reference>
          <reference field="2" count="1" selected="0">
            <x v="30"/>
          </reference>
        </references>
      </pivotArea>
    </chartFormat>
    <chartFormat chart="2" format="400">
      <pivotArea type="data" outline="0" fieldPosition="0">
        <references count="2">
          <reference field="4294967294" count="1" selected="0">
            <x v="3"/>
          </reference>
          <reference field="2" count="1" selected="0">
            <x v="31"/>
          </reference>
        </references>
      </pivotArea>
    </chartFormat>
    <chartFormat chart="2" format="401">
      <pivotArea type="data" outline="0" fieldPosition="0">
        <references count="2">
          <reference field="4294967294" count="1" selected="0">
            <x v="3"/>
          </reference>
          <reference field="2" count="1" selected="0">
            <x v="32"/>
          </reference>
        </references>
      </pivotArea>
    </chartFormat>
    <chartFormat chart="2" format="402">
      <pivotArea type="data" outline="0" fieldPosition="0">
        <references count="2">
          <reference field="4294967294" count="1" selected="0">
            <x v="3"/>
          </reference>
          <reference field="2" count="1" selected="0">
            <x v="33"/>
          </reference>
        </references>
      </pivotArea>
    </chartFormat>
    <chartFormat chart="2" format="403">
      <pivotArea type="data" outline="0" fieldPosition="0">
        <references count="2">
          <reference field="4294967294" count="1" selected="0">
            <x v="3"/>
          </reference>
          <reference field="2" count="1" selected="0">
            <x v="34"/>
          </reference>
        </references>
      </pivotArea>
    </chartFormat>
    <chartFormat chart="2" format="404">
      <pivotArea type="data" outline="0" fieldPosition="0">
        <references count="2">
          <reference field="4294967294" count="1" selected="0">
            <x v="3"/>
          </reference>
          <reference field="2" count="1" selected="0">
            <x v="35"/>
          </reference>
        </references>
      </pivotArea>
    </chartFormat>
    <chartFormat chart="2" format="405">
      <pivotArea type="data" outline="0" fieldPosition="0">
        <references count="2">
          <reference field="4294967294" count="1" selected="0">
            <x v="3"/>
          </reference>
          <reference field="2" count="1" selected="0">
            <x v="36"/>
          </reference>
        </references>
      </pivotArea>
    </chartFormat>
    <chartFormat chart="2" format="406">
      <pivotArea type="data" outline="0" fieldPosition="0">
        <references count="2">
          <reference field="4294967294" count="1" selected="0">
            <x v="3"/>
          </reference>
          <reference field="2" count="1" selected="0">
            <x v="37"/>
          </reference>
        </references>
      </pivotArea>
    </chartFormat>
    <chartFormat chart="2" format="407">
      <pivotArea type="data" outline="0" fieldPosition="0">
        <references count="2">
          <reference field="4294967294" count="1" selected="0">
            <x v="3"/>
          </reference>
          <reference field="2" count="1" selected="0">
            <x v="38"/>
          </reference>
        </references>
      </pivotArea>
    </chartFormat>
    <chartFormat chart="2" format="408">
      <pivotArea type="data" outline="0" fieldPosition="0">
        <references count="2">
          <reference field="4294967294" count="1" selected="0">
            <x v="3"/>
          </reference>
          <reference field="2" count="1" selected="0">
            <x v="39"/>
          </reference>
        </references>
      </pivotArea>
    </chartFormat>
    <chartFormat chart="2" format="409">
      <pivotArea type="data" outline="0" fieldPosition="0">
        <references count="2">
          <reference field="4294967294" count="1" selected="0">
            <x v="3"/>
          </reference>
          <reference field="2" count="1" selected="0">
            <x v="40"/>
          </reference>
        </references>
      </pivotArea>
    </chartFormat>
    <chartFormat chart="2" format="410">
      <pivotArea type="data" outline="0" fieldPosition="0">
        <references count="2">
          <reference field="4294967294" count="1" selected="0">
            <x v="3"/>
          </reference>
          <reference field="2" count="1" selected="0">
            <x v="41"/>
          </reference>
        </references>
      </pivotArea>
    </chartFormat>
    <chartFormat chart="2" format="411">
      <pivotArea type="data" outline="0" fieldPosition="0">
        <references count="2">
          <reference field="4294967294" count="1" selected="0">
            <x v="3"/>
          </reference>
          <reference field="2" count="1" selected="0">
            <x v="42"/>
          </reference>
        </references>
      </pivotArea>
    </chartFormat>
    <chartFormat chart="2" format="412">
      <pivotArea type="data" outline="0" fieldPosition="0">
        <references count="2">
          <reference field="4294967294" count="1" selected="0">
            <x v="3"/>
          </reference>
          <reference field="2" count="1" selected="0">
            <x v="43"/>
          </reference>
        </references>
      </pivotArea>
    </chartFormat>
    <chartFormat chart="2" format="413">
      <pivotArea type="data" outline="0" fieldPosition="0">
        <references count="2">
          <reference field="4294967294" count="1" selected="0">
            <x v="3"/>
          </reference>
          <reference field="2" count="1" selected="0">
            <x v="44"/>
          </reference>
        </references>
      </pivotArea>
    </chartFormat>
    <chartFormat chart="2" format="414">
      <pivotArea type="data" outline="0" fieldPosition="0">
        <references count="2">
          <reference field="4294967294" count="1" selected="0">
            <x v="3"/>
          </reference>
          <reference field="2" count="1" selected="0">
            <x v="45"/>
          </reference>
        </references>
      </pivotArea>
    </chartFormat>
    <chartFormat chart="2" format="415">
      <pivotArea type="data" outline="0" fieldPosition="0">
        <references count="2">
          <reference field="4294967294" count="1" selected="0">
            <x v="3"/>
          </reference>
          <reference field="2" count="1" selected="0">
            <x v="46"/>
          </reference>
        </references>
      </pivotArea>
    </chartFormat>
    <chartFormat chart="2" format="416">
      <pivotArea type="data" outline="0" fieldPosition="0">
        <references count="2">
          <reference field="4294967294" count="1" selected="0">
            <x v="3"/>
          </reference>
          <reference field="2" count="1" selected="0">
            <x v="47"/>
          </reference>
        </references>
      </pivotArea>
    </chartFormat>
    <chartFormat chart="2" format="417">
      <pivotArea type="data" outline="0" fieldPosition="0">
        <references count="2">
          <reference field="4294967294" count="1" selected="0">
            <x v="3"/>
          </reference>
          <reference field="2" count="1" selected="0">
            <x v="48"/>
          </reference>
        </references>
      </pivotArea>
    </chartFormat>
    <chartFormat chart="2" format="418">
      <pivotArea type="data" outline="0" fieldPosition="0">
        <references count="2">
          <reference field="4294967294" count="1" selected="0">
            <x v="3"/>
          </reference>
          <reference field="2" count="1" selected="0">
            <x v="49"/>
          </reference>
        </references>
      </pivotArea>
    </chartFormat>
    <chartFormat chart="2" format="419">
      <pivotArea type="data" outline="0" fieldPosition="0">
        <references count="2">
          <reference field="4294967294" count="1" selected="0">
            <x v="3"/>
          </reference>
          <reference field="2" count="1" selected="0">
            <x v="5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00000000-0013-0000-FFFF-FFFF01000000}" sourceName="DAY">
  <pivotTables>
    <pivotTable tabId="3" name="PivotTable1"/>
    <pivotTable tabId="3" name="PivotTable11"/>
    <pivotTable tabId="3" name="PivotTable2"/>
    <pivotTable tabId="3" name="PivotTable3"/>
    <pivotTable tabId="3" name="PivotTable5"/>
    <pivotTable tabId="3" name="PivotTable6"/>
    <pivotTable tabId="3" name="PivotTable7"/>
    <pivotTable tabId="3" name="PivotTable8"/>
    <pivotTable tabId="3" name="PivotTable9"/>
    <pivotTable tabId="3" name="PivotTable10"/>
    <pivotTable tabId="3" name="PivotTable12"/>
    <pivotTable tabId="3" name="PivotTable15"/>
    <pivotTable tabId="3" name="PivotTable4"/>
    <pivotTable tabId="3" name="PivotTable22"/>
    <pivotTable tabId="3" name="PivotTable23"/>
    <pivotTable tabId="3" name="PivotTable25"/>
    <pivotTable tabId="3" name="PivotTable13"/>
    <pivotTable tabId="3" name="PivotTable14"/>
    <pivotTable tabId="3" name="PivotTable16"/>
    <pivotTable tabId="3" name="PivotTable17"/>
    <pivotTable tabId="3" name="PivotTable18"/>
    <pivotTable tabId="3" name="PivotTable19"/>
    <pivotTable tabId="3" name="PivotTable21"/>
    <pivotTable tabId="3" name="PivotTable24"/>
    <pivotTable tabId="22" name="PivotTable1"/>
  </pivotTables>
  <data>
    <tabular pivotCacheId="264789727">
      <items count="7">
        <i x="6" s="1"/>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0000000-0013-0000-FFFF-FFFF02000000}" sourceName="YEAR">
  <pivotTables>
    <pivotTable tabId="3" name="PivotTable3"/>
    <pivotTable tabId="3" name="PivotTable1"/>
    <pivotTable tabId="3" name="PivotTable11"/>
    <pivotTable tabId="3" name="PivotTable2"/>
    <pivotTable tabId="3" name="PivotTable5"/>
    <pivotTable tabId="3" name="PivotTable6"/>
    <pivotTable tabId="3" name="PivotTable7"/>
    <pivotTable tabId="3" name="PivotTable8"/>
    <pivotTable tabId="3" name="PivotTable9"/>
    <pivotTable tabId="3" name="PivotTable10"/>
    <pivotTable tabId="3" name="PivotTable12"/>
    <pivotTable tabId="3" name="PivotTable15"/>
    <pivotTable tabId="3" name="PivotTable4"/>
    <pivotTable tabId="3" name="PivotTable22"/>
    <pivotTable tabId="3" name="PivotTable23"/>
    <pivotTable tabId="3" name="PivotTable25"/>
  </pivotTables>
  <data>
    <tabular pivotCacheId="264789727">
      <items count="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NTH" xr10:uid="{B251917A-93A9-4AD0-8C48-E3A32F9A1E97}" sourceName="NONTH">
  <pivotTables>
    <pivotTable tabId="3" name="PivotTable16"/>
    <pivotTable tabId="3" name="PivotTable10"/>
    <pivotTable tabId="3" name="PivotTable11"/>
    <pivotTable tabId="3" name="PivotTable12"/>
  </pivotTables>
  <data>
    <tabular pivotCacheId="26478972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00000000-0014-0000-FFFF-FFFF01000000}" cache="Slicer_DAY" caption="DAY" columnCount="2" rowHeight="257175"/>
  <slicer name="YEAR" xr10:uid="{00000000-0014-0000-FFFF-FFFF02000000}" cache="Slicer_YEAR" caption="YEAR" rowHeight="228600"/>
  <slicer name="NONTH" xr10:uid="{70D33303-6F9C-45E4-87F8-B595980F65BF}" cache="Slicer_NONTH" caption="NONTH" columnCount="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S1:U2" totalsRowShown="0" headerRowDxfId="38" dataDxfId="37">
  <autoFilter ref="S1:U2" xr:uid="{00000000-0009-0000-0100-000004000000}"/>
  <tableColumns count="3">
    <tableColumn id="1" xr3:uid="{00000000-0010-0000-0000-000001000000}" name="Average Selling Price (ASP)" dataDxfId="36">
      <calculatedColumnFormula>I72/J72</calculatedColumnFormula>
    </tableColumn>
    <tableColumn id="2" xr3:uid="{00000000-0010-0000-0000-000002000000}" name="Tax Rate" dataDxfId="35">
      <calculatedColumnFormula>M72/TOTALUSD</calculatedColumnFormula>
    </tableColumn>
    <tableColumn id="3" xr3:uid="{00000000-0010-0000-0000-000003000000}" name="Units per Transaction" dataDxfId="34">
      <calculatedColumnFormula>J72/A72</calculatedColumnFormula>
    </tableColumn>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R71" totalsRowShown="0" tableBorderDxfId="33">
  <autoFilter ref="A1:R71" xr:uid="{00000000-0009-0000-0100-000001000000}"/>
  <tableColumns count="18">
    <tableColumn id="1" xr3:uid="{00000000-0010-0000-0100-000001000000}" name="Order No" dataDxfId="32"/>
    <tableColumn id="2" xr3:uid="{00000000-0010-0000-0100-000002000000}" name="Order Date" dataDxfId="31"/>
    <tableColumn id="3" xr3:uid="{00000000-0010-0000-0100-000003000000}" name="Customer Name" dataDxfId="30"/>
    <tableColumn id="4" xr3:uid="{00000000-0010-0000-0100-000004000000}" name="Ship Date" dataDxfId="29"/>
    <tableColumn id="5" xr3:uid="{00000000-0010-0000-0100-000005000000}" name="Shipping Delay" dataDxfId="28">
      <calculatedColumnFormula>'DATA '!$D2-'DATA '!$B2</calculatedColumnFormula>
    </tableColumn>
    <tableColumn id="6" xr3:uid="{00000000-0010-0000-0100-000006000000}" name="YEAR" dataDxfId="27">
      <calculatedColumnFormula>TEXT('DATA '!$D2,"YYYY")</calculatedColumnFormula>
    </tableColumn>
    <tableColumn id="7" xr3:uid="{00000000-0010-0000-0100-000007000000}" name="MONTH" dataDxfId="26">
      <calculatedColumnFormula>TEXT('DATA '!$D2,"MMMM")</calculatedColumnFormula>
    </tableColumn>
    <tableColumn id="8" xr3:uid="{00000000-0010-0000-0100-000008000000}" name="DAY" dataDxfId="25">
      <calculatedColumnFormula>TEXT('DATA '!$B2,"DDDD")</calculatedColumnFormula>
    </tableColumn>
    <tableColumn id="9" xr3:uid="{00000000-0010-0000-0100-000009000000}" name="Retail_Price(USD)" dataDxfId="24"/>
    <tableColumn id="10" xr3:uid="{00000000-0010-0000-0100-00000A000000}" name="Order_Quantity" dataDxfId="23"/>
    <tableColumn id="11" xr3:uid="{00000000-0010-0000-0100-00000B000000}" name="Unit Price" dataDxfId="22">
      <calculatedColumnFormula>'DATA '!$N2/'DATA '!$J2</calculatedColumnFormula>
    </tableColumn>
    <tableColumn id="12" xr3:uid="{00000000-0010-0000-0100-00000C000000}" name="Net Revenue" dataDxfId="21">
      <calculatedColumnFormula>'DATA '!$I2*'DATA '!$J2</calculatedColumnFormula>
    </tableColumn>
    <tableColumn id="13" xr3:uid="{00000000-0010-0000-0100-00000D000000}" name="Tax_(USD)" dataDxfId="20"/>
    <tableColumn id="14" xr3:uid="{00000000-0010-0000-0100-00000E000000}" name="Total_(USD)" dataDxfId="19"/>
    <tableColumn id="15" xr3:uid="{00000000-0010-0000-0100-00000F000000}" name="Tax Rate(%)" dataDxfId="18">
      <calculatedColumnFormula>'DATA '!$M2/'DATA '!$N2</calculatedColumnFormula>
    </tableColumn>
    <tableColumn id="16" xr3:uid="{00000000-0010-0000-0100-000010000000}" name="Net Revenue2" dataDxfId="17">
      <calculatedColumnFormula>'DATA '!$I2*'DATA '!$J2</calculatedColumnFormula>
    </tableColumn>
    <tableColumn id="17" xr3:uid="{00000000-0010-0000-0100-000011000000}" name="Gross tax" dataDxfId="16">
      <calculatedColumnFormula>'DATA '!$P2+'DATA '!$M2</calculatedColumnFormula>
    </tableColumn>
    <tableColumn id="18" xr3:uid="{00000000-0010-0000-0100-000012000000}" name="Repeat Order Rate" dataDxfId="15">
      <calculatedColumnFormula>(COUNTIF(C:C, C2) - 1) / COUNTIF(C:C, C2)</calculatedColumnFormula>
    </tableColumn>
  </tableColumns>
  <tableStyleInfo name="TableStyleLight1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A1:E62" totalsRowShown="0">
  <autoFilter ref="A1:E62" xr:uid="{00000000-0009-0000-0100-000003000000}"/>
  <tableColumns count="5">
    <tableColumn id="1" xr3:uid="{00000000-0010-0000-0200-000001000000}" name="Order Date" dataDxfId="14"/>
    <tableColumn id="2" xr3:uid="{00000000-0010-0000-0200-000002000000}" name="Total_(USD)"/>
    <tableColumn id="3" xr3:uid="{00000000-0010-0000-0200-000003000000}" name="Forecast(Total_(USD))" dataDxfId="13">
      <calculatedColumnFormula>_xlfn.FORECAST.ETS(A2,$B$2:$B$36,$A$2:$A$36,1,1)</calculatedColumnFormula>
    </tableColumn>
    <tableColumn id="4" xr3:uid="{00000000-0010-0000-0200-000004000000}" name="Lower Confidence Bound(Total_(USD))" dataDxfId="12">
      <calculatedColumnFormula>C2-_xlfn.FORECAST.ETS.CONFINT(A2,$B$2:$B$36,$A$2:$A$36,0.95,1,1)</calculatedColumnFormula>
    </tableColumn>
    <tableColumn id="5" xr3:uid="{00000000-0010-0000-0200-000005000000}" name="Upper Confidence Bound(Total_(USD))" dataDxfId="11">
      <calculatedColumnFormula>C2+_xlfn.FORECAST.ETS.CONFINT(A2,$B$2:$B$36,$A$2:$A$36,0.95,1,1)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3000000}" name="Table8" displayName="Table8" ref="G1:H8" totalsRowShown="0">
  <autoFilter ref="G1:H8" xr:uid="{00000000-0009-0000-0100-000008000000}"/>
  <tableColumns count="2">
    <tableColumn id="1" xr3:uid="{00000000-0010-0000-0300-000001000000}" name="Statistic"/>
    <tableColumn id="2" xr3:uid="{00000000-0010-0000-0300-000002000000}" name="Value" dataDxf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4000000}" name="Table9" displayName="Table9" ref="A1:E62" totalsRowShown="0">
  <autoFilter ref="A1:E62" xr:uid="{00000000-0009-0000-0100-000009000000}"/>
  <tableColumns count="5">
    <tableColumn id="1" xr3:uid="{00000000-0010-0000-0400-000001000000}" name="Order Date" dataDxfId="9"/>
    <tableColumn id="2" xr3:uid="{00000000-0010-0000-0400-000002000000}" name="Retail_Price(USD)"/>
    <tableColumn id="3" xr3:uid="{00000000-0010-0000-0400-000003000000}" name="Forecast(Retail_Price(USD))" dataDxfId="8">
      <calculatedColumnFormula>_xlfn.FORECAST.ETS(A2,$B$2:$B$36,$A$2:$A$36,1,1)</calculatedColumnFormula>
    </tableColumn>
    <tableColumn id="4" xr3:uid="{00000000-0010-0000-0400-000004000000}" name="Lower Confidence Bound(Retail_Price(USD))" dataDxfId="7">
      <calculatedColumnFormula>C2-_xlfn.FORECAST.ETS.CONFINT(A2,$B$2:$B$36,$A$2:$A$36,0.95,1,1)</calculatedColumnFormula>
    </tableColumn>
    <tableColumn id="5" xr3:uid="{00000000-0010-0000-0400-000005000000}" name="Upper Confidence Bound(Retail_Price(USD))" dataDxfId="6">
      <calculatedColumnFormula>C2+_xlfn.FORECAST.ETS.CONFINT(A2,$B$2:$B$36,$A$2:$A$36,0.95,1,1)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5000000}" name="Table10" displayName="Table10" ref="G1:H8" totalsRowShown="0">
  <autoFilter ref="G1:H8" xr:uid="{00000000-0009-0000-0100-00000A000000}"/>
  <tableColumns count="2">
    <tableColumn id="1" xr3:uid="{00000000-0010-0000-0500-000001000000}" name="Statistic"/>
    <tableColumn id="2" xr3:uid="{00000000-0010-0000-0500-000002000000}" name="Value" dataDxfId="5"/>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6000000}" name="Table11" displayName="Table11" ref="A1:E62" totalsRowShown="0">
  <autoFilter ref="A1:E62" xr:uid="{00000000-0009-0000-0100-00000B000000}"/>
  <tableColumns count="5">
    <tableColumn id="1" xr3:uid="{00000000-0010-0000-0600-000001000000}" name="Order Date" dataDxfId="4"/>
    <tableColumn id="2" xr3:uid="{00000000-0010-0000-0600-000002000000}" name="Order_Quantity"/>
    <tableColumn id="3" xr3:uid="{00000000-0010-0000-0600-000003000000}" name="Forecast(Order_Quantity)" dataDxfId="3">
      <calculatedColumnFormula>_xlfn.FORECAST.ETS(A2,$B$2:$B$36,$A$2:$A$36,1,1)</calculatedColumnFormula>
    </tableColumn>
    <tableColumn id="4" xr3:uid="{00000000-0010-0000-0600-000004000000}" name="Lower Confidence Bound(Order_Quantity)" dataDxfId="2">
      <calculatedColumnFormula>C2-_xlfn.FORECAST.ETS.CONFINT(A2,$B$2:$B$36,$A$2:$A$36,0.95,1,1)</calculatedColumnFormula>
    </tableColumn>
    <tableColumn id="5" xr3:uid="{00000000-0010-0000-0600-000005000000}" name="Upper Confidence Bound(Order_Quantity)" dataDxfId="1">
      <calculatedColumnFormula>C2+_xlfn.FORECAST.ETS.CONFINT(A2,$B$2:$B$36,$A$2:$A$36,0.95,1,1)</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7000000}" name="Table12" displayName="Table12" ref="G1:H8" totalsRowShown="0">
  <autoFilter ref="G1:H8" xr:uid="{00000000-0009-0000-0100-00000C000000}"/>
  <tableColumns count="2">
    <tableColumn id="1" xr3:uid="{00000000-0010-0000-0700-000001000000}" name="Statistic"/>
    <tableColumn id="2" xr3:uid="{00000000-0010-0000-0700-000002000000}" name="Valu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69:A70"/>
  <sheetViews>
    <sheetView showGridLines="0" tabSelected="1" zoomScale="130" zoomScaleNormal="130" workbookViewId="0">
      <selection activeCell="H12" sqref="H12"/>
    </sheetView>
  </sheetViews>
  <sheetFormatPr defaultRowHeight="15"/>
  <cols>
    <col min="2" max="2" width="8.7109375" customWidth="1"/>
    <col min="13" max="13" width="11.140625" bestFit="1" customWidth="1"/>
    <col min="14" max="14" width="17.28515625" bestFit="1" customWidth="1"/>
    <col min="17" max="17" width="11.140625" bestFit="1" customWidth="1"/>
    <col min="18" max="18" width="20.42578125" bestFit="1" customWidth="1"/>
    <col min="47" max="47" width="11.140625" bestFit="1" customWidth="1"/>
    <col min="48" max="48" width="20.42578125" bestFit="1" customWidth="1"/>
  </cols>
  <sheetData>
    <row r="69" customFormat="1"/>
    <row r="70" customFormat="1"/>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45"/>
  <sheetViews>
    <sheetView showGridLines="0" topLeftCell="A2" workbookViewId="0">
      <selection activeCell="I4" sqref="I4"/>
    </sheetView>
  </sheetViews>
  <sheetFormatPr defaultRowHeight="15"/>
  <cols>
    <col min="1" max="1" width="17" bestFit="1" customWidth="1"/>
    <col min="2" max="2" width="18" bestFit="1" customWidth="1"/>
    <col min="3" max="3" width="16.5703125" customWidth="1"/>
    <col min="4" max="4" width="18" bestFit="1" customWidth="1"/>
    <col min="5" max="5" width="16.140625" customWidth="1"/>
    <col min="6" max="6" width="17.5703125" customWidth="1"/>
    <col min="7" max="7" width="12.28515625" customWidth="1"/>
    <col min="8" max="8" width="15.140625" customWidth="1"/>
    <col min="9" max="9" width="10.5703125" customWidth="1"/>
  </cols>
  <sheetData>
    <row r="2" spans="1:8">
      <c r="A2" s="18" t="s">
        <v>0</v>
      </c>
      <c r="B2" s="19"/>
      <c r="C2" s="22" t="s">
        <v>1</v>
      </c>
      <c r="D2" s="19"/>
      <c r="E2" s="22" t="s">
        <v>2</v>
      </c>
      <c r="F2" s="19"/>
      <c r="G2" s="22" t="s">
        <v>3</v>
      </c>
      <c r="H2" s="19"/>
    </row>
    <row r="3" spans="1:8">
      <c r="B3" s="20"/>
      <c r="C3" s="23"/>
      <c r="D3" s="20"/>
      <c r="E3" s="23"/>
      <c r="F3" s="20"/>
      <c r="G3" s="23"/>
      <c r="H3" s="20"/>
    </row>
    <row r="4" spans="1:8">
      <c r="A4" t="s">
        <v>4</v>
      </c>
      <c r="B4" s="20">
        <v>84.418571428571283</v>
      </c>
      <c r="C4" s="23" t="s">
        <v>4</v>
      </c>
      <c r="D4" s="20">
        <v>2.4</v>
      </c>
      <c r="E4" s="23" t="s">
        <v>4</v>
      </c>
      <c r="F4" s="20">
        <v>14.097600000000005</v>
      </c>
      <c r="G4" s="23" t="s">
        <v>4</v>
      </c>
      <c r="H4" s="20">
        <v>155.07359999999986</v>
      </c>
    </row>
    <row r="5" spans="1:8">
      <c r="A5" t="s">
        <v>5</v>
      </c>
      <c r="B5" s="20">
        <v>6.8180606408347781</v>
      </c>
      <c r="C5" s="23" t="s">
        <v>5</v>
      </c>
      <c r="D5" s="20">
        <v>0.15945040182395889</v>
      </c>
      <c r="E5" s="23" t="s">
        <v>5</v>
      </c>
      <c r="F5" s="20">
        <v>0.46547282730644868</v>
      </c>
      <c r="G5" s="23" t="s">
        <v>5</v>
      </c>
      <c r="H5" s="20">
        <v>5.1202011003710366</v>
      </c>
    </row>
    <row r="6" spans="1:8">
      <c r="A6" t="s">
        <v>6</v>
      </c>
      <c r="B6" s="20">
        <v>69.989999999999995</v>
      </c>
      <c r="C6" s="23" t="s">
        <v>6</v>
      </c>
      <c r="D6" s="20">
        <v>2</v>
      </c>
      <c r="E6" s="23" t="s">
        <v>6</v>
      </c>
      <c r="F6" s="20">
        <v>14.994999999999999</v>
      </c>
      <c r="G6" s="23" t="s">
        <v>6</v>
      </c>
      <c r="H6" s="20">
        <v>164.94499999999999</v>
      </c>
    </row>
    <row r="7" spans="1:8">
      <c r="A7" t="s">
        <v>7</v>
      </c>
      <c r="B7" s="20">
        <v>49.99</v>
      </c>
      <c r="C7" s="23" t="s">
        <v>7</v>
      </c>
      <c r="D7" s="20">
        <v>1</v>
      </c>
      <c r="E7" s="23" t="s">
        <v>7</v>
      </c>
      <c r="F7" s="20">
        <v>7.9960000000000004</v>
      </c>
      <c r="G7" s="23" t="s">
        <v>7</v>
      </c>
      <c r="H7" s="20">
        <v>87.956000000000003</v>
      </c>
    </row>
    <row r="8" spans="1:8">
      <c r="A8" t="s">
        <v>8</v>
      </c>
      <c r="B8" s="20">
        <v>57.043987966717616</v>
      </c>
      <c r="C8" s="23" t="s">
        <v>8</v>
      </c>
      <c r="D8" s="20">
        <v>1.3340577742090245</v>
      </c>
      <c r="E8" s="23" t="s">
        <v>8</v>
      </c>
      <c r="F8" s="20">
        <v>3.8944250804510454</v>
      </c>
      <c r="G8" s="23" t="s">
        <v>8</v>
      </c>
      <c r="H8" s="20">
        <v>42.838675884962342</v>
      </c>
    </row>
    <row r="9" spans="1:8">
      <c r="A9" t="s">
        <v>9</v>
      </c>
      <c r="B9" s="20">
        <v>3254.0165631470245</v>
      </c>
      <c r="C9" s="23" t="s">
        <v>9</v>
      </c>
      <c r="D9" s="20">
        <v>1.7797101449275363</v>
      </c>
      <c r="E9" s="23" t="s">
        <v>9</v>
      </c>
      <c r="F9" s="20">
        <v>15.166546707246132</v>
      </c>
      <c r="G9" s="23" t="s">
        <v>9</v>
      </c>
      <c r="H9" s="20">
        <v>1835.1521515768541</v>
      </c>
    </row>
    <row r="10" spans="1:8">
      <c r="A10" t="s">
        <v>10</v>
      </c>
      <c r="B10" s="20">
        <v>-0.63579951364768661</v>
      </c>
      <c r="C10" s="23" t="s">
        <v>10</v>
      </c>
      <c r="D10" s="20">
        <v>-0.80466761076572269</v>
      </c>
      <c r="E10" s="23" t="s">
        <v>10</v>
      </c>
      <c r="F10" s="20">
        <v>3.7297078804159449</v>
      </c>
      <c r="G10" s="23" t="s">
        <v>10</v>
      </c>
      <c r="H10" s="20">
        <v>3.7297078804159458</v>
      </c>
    </row>
    <row r="11" spans="1:8">
      <c r="A11" t="s">
        <v>11</v>
      </c>
      <c r="B11" s="20">
        <v>0.75035601356083181</v>
      </c>
      <c r="C11" s="23" t="s">
        <v>11</v>
      </c>
      <c r="D11" s="20">
        <v>0.57910669866234254</v>
      </c>
      <c r="E11" s="23" t="s">
        <v>11</v>
      </c>
      <c r="F11" s="20">
        <v>0.52255425346110351</v>
      </c>
      <c r="G11" s="23" t="s">
        <v>11</v>
      </c>
      <c r="H11" s="20">
        <v>0.52255425346111717</v>
      </c>
    </row>
    <row r="12" spans="1:8">
      <c r="A12" t="s">
        <v>12</v>
      </c>
      <c r="B12" s="20">
        <v>180</v>
      </c>
      <c r="C12" s="23" t="s">
        <v>12</v>
      </c>
      <c r="D12" s="20">
        <v>4</v>
      </c>
      <c r="E12" s="23" t="s">
        <v>12</v>
      </c>
      <c r="F12" s="20">
        <v>26.998000000000001</v>
      </c>
      <c r="G12" s="23" t="s">
        <v>12</v>
      </c>
      <c r="H12" s="20">
        <v>296.97800000000001</v>
      </c>
    </row>
    <row r="13" spans="1:8">
      <c r="A13" t="s">
        <v>13</v>
      </c>
      <c r="B13" s="20">
        <v>19.989999999999998</v>
      </c>
      <c r="C13" s="23" t="s">
        <v>13</v>
      </c>
      <c r="D13" s="20">
        <v>1</v>
      </c>
      <c r="E13" s="23" t="s">
        <v>13</v>
      </c>
      <c r="F13" s="20">
        <v>2.9990000000000001</v>
      </c>
      <c r="G13" s="23" t="s">
        <v>13</v>
      </c>
      <c r="H13" s="20">
        <v>32.988999999999997</v>
      </c>
    </row>
    <row r="14" spans="1:8">
      <c r="A14" t="s">
        <v>14</v>
      </c>
      <c r="B14" s="20">
        <v>199.99</v>
      </c>
      <c r="C14" s="23" t="s">
        <v>14</v>
      </c>
      <c r="D14" s="20">
        <v>5</v>
      </c>
      <c r="E14" s="23" t="s">
        <v>14</v>
      </c>
      <c r="F14" s="20">
        <v>29.997</v>
      </c>
      <c r="G14" s="23" t="s">
        <v>14</v>
      </c>
      <c r="H14" s="20">
        <v>329.96699999999998</v>
      </c>
    </row>
    <row r="15" spans="1:8">
      <c r="A15" t="s">
        <v>15</v>
      </c>
      <c r="B15" s="20">
        <v>5909.2999999999902</v>
      </c>
      <c r="C15" s="23" t="s">
        <v>15</v>
      </c>
      <c r="D15" s="20">
        <v>168</v>
      </c>
      <c r="E15" s="23" t="s">
        <v>15</v>
      </c>
      <c r="F15" s="20">
        <v>986.83200000000033</v>
      </c>
      <c r="G15" s="23" t="s">
        <v>15</v>
      </c>
      <c r="H15" s="20">
        <v>10855.151999999991</v>
      </c>
    </row>
    <row r="16" spans="1:8">
      <c r="A16" s="17" t="s">
        <v>16</v>
      </c>
      <c r="B16" s="21">
        <v>70</v>
      </c>
      <c r="C16" s="24" t="s">
        <v>16</v>
      </c>
      <c r="D16" s="21">
        <v>70</v>
      </c>
      <c r="E16" s="24" t="s">
        <v>16</v>
      </c>
      <c r="F16" s="21">
        <v>70</v>
      </c>
      <c r="G16" s="24" t="s">
        <v>16</v>
      </c>
      <c r="H16" s="21">
        <v>70</v>
      </c>
    </row>
    <row r="17" spans="1:8">
      <c r="B17">
        <v>1</v>
      </c>
      <c r="D17">
        <v>3</v>
      </c>
      <c r="F17">
        <v>5</v>
      </c>
      <c r="H17">
        <v>7</v>
      </c>
    </row>
    <row r="19" spans="1:8">
      <c r="A19" s="18"/>
      <c r="B19" s="19" t="s">
        <v>17</v>
      </c>
      <c r="C19" s="26" t="s">
        <v>18</v>
      </c>
      <c r="D19" s="18" t="s">
        <v>19</v>
      </c>
      <c r="E19" s="18" t="s">
        <v>20</v>
      </c>
    </row>
    <row r="20" spans="1:8">
      <c r="A20" t="s">
        <v>17</v>
      </c>
      <c r="B20" s="20">
        <v>1</v>
      </c>
      <c r="C20" s="27"/>
    </row>
    <row r="21" spans="1:8">
      <c r="A21" t="s">
        <v>18</v>
      </c>
      <c r="B21" s="20">
        <v>-0.82157370777026983</v>
      </c>
      <c r="C21" s="27">
        <v>1</v>
      </c>
    </row>
    <row r="22" spans="1:8">
      <c r="A22" t="s">
        <v>19</v>
      </c>
      <c r="B22" s="20">
        <v>0.58996369473735233</v>
      </c>
      <c r="C22" s="27">
        <v>-0.26758068745260127</v>
      </c>
      <c r="D22">
        <v>1</v>
      </c>
    </row>
    <row r="23" spans="1:8">
      <c r="A23" s="17" t="s">
        <v>20</v>
      </c>
      <c r="B23" s="21">
        <v>0.58996369473735211</v>
      </c>
      <c r="C23" s="28">
        <v>-0.26758068745260122</v>
      </c>
      <c r="D23" s="25">
        <v>0.999999999999999</v>
      </c>
      <c r="E23" s="17">
        <v>1</v>
      </c>
    </row>
    <row r="26" spans="1:8">
      <c r="A26" t="s">
        <v>21</v>
      </c>
    </row>
    <row r="28" spans="1:8">
      <c r="A28" s="29" t="s">
        <v>22</v>
      </c>
      <c r="B28" s="29"/>
    </row>
    <row r="29" spans="1:8">
      <c r="A29" t="s">
        <v>23</v>
      </c>
      <c r="B29">
        <v>1</v>
      </c>
    </row>
    <row r="30" spans="1:8">
      <c r="A30" t="s">
        <v>24</v>
      </c>
      <c r="B30">
        <v>1</v>
      </c>
    </row>
    <row r="31" spans="1:8">
      <c r="A31" t="s">
        <v>25</v>
      </c>
      <c r="B31">
        <v>1</v>
      </c>
    </row>
    <row r="32" spans="1:8">
      <c r="A32" t="s">
        <v>5</v>
      </c>
      <c r="B32">
        <v>2.8249833777751432E-14</v>
      </c>
    </row>
    <row r="33" spans="1:9">
      <c r="A33" s="17" t="s">
        <v>26</v>
      </c>
      <c r="B33" s="17">
        <v>70</v>
      </c>
    </row>
    <row r="35" spans="1:9">
      <c r="A35" t="s">
        <v>27</v>
      </c>
    </row>
    <row r="36" spans="1:9">
      <c r="A36" s="18"/>
      <c r="B36" s="18" t="s">
        <v>28</v>
      </c>
      <c r="C36" s="18" t="s">
        <v>29</v>
      </c>
      <c r="D36" s="18" t="s">
        <v>30</v>
      </c>
      <c r="E36" s="18" t="s">
        <v>31</v>
      </c>
      <c r="F36" s="18" t="s">
        <v>32</v>
      </c>
    </row>
    <row r="37" spans="1:9">
      <c r="A37" t="s">
        <v>33</v>
      </c>
      <c r="B37">
        <v>3</v>
      </c>
      <c r="C37">
        <v>126625.49845880007</v>
      </c>
      <c r="D37">
        <v>42208.499486266686</v>
      </c>
      <c r="E37">
        <v>5.2889336609635404E+31</v>
      </c>
      <c r="F37">
        <v>0</v>
      </c>
    </row>
    <row r="38" spans="1:9">
      <c r="A38" t="s">
        <v>34</v>
      </c>
      <c r="B38">
        <v>66</v>
      </c>
      <c r="C38">
        <v>5.267150515905866E-26</v>
      </c>
      <c r="D38">
        <v>7.9805310847058576E-28</v>
      </c>
    </row>
    <row r="39" spans="1:9">
      <c r="A39" s="17" t="s">
        <v>35</v>
      </c>
      <c r="B39" s="17">
        <v>69</v>
      </c>
      <c r="C39" s="17">
        <v>126625.49845880007</v>
      </c>
      <c r="D39" s="17"/>
      <c r="E39" s="17"/>
      <c r="F39" s="17"/>
    </row>
    <row r="41" spans="1:9">
      <c r="A41" s="18"/>
      <c r="B41" s="18" t="s">
        <v>36</v>
      </c>
      <c r="C41" s="18" t="s">
        <v>5</v>
      </c>
      <c r="D41" s="18" t="s">
        <v>37</v>
      </c>
      <c r="E41" s="18" t="s">
        <v>38</v>
      </c>
      <c r="F41" s="18" t="s">
        <v>39</v>
      </c>
      <c r="G41" s="18" t="s">
        <v>40</v>
      </c>
      <c r="H41" s="18" t="s">
        <v>41</v>
      </c>
      <c r="I41" s="18" t="s">
        <v>42</v>
      </c>
    </row>
    <row r="42" spans="1:9">
      <c r="A42" t="s">
        <v>43</v>
      </c>
      <c r="B42">
        <v>-2.2737367544323206E-13</v>
      </c>
      <c r="C42">
        <v>1.9298673129981892E-14</v>
      </c>
      <c r="D42">
        <v>-11.781829450750712</v>
      </c>
      <c r="E42" s="30">
        <v>6.9543560155333095E-18</v>
      </c>
      <c r="F42">
        <v>-2.6590471954754494E-13</v>
      </c>
      <c r="G42">
        <v>-1.8884263133891917E-13</v>
      </c>
      <c r="H42">
        <v>-2.6590471954754494E-13</v>
      </c>
      <c r="I42">
        <v>-1.8884263133891917E-13</v>
      </c>
    </row>
    <row r="43" spans="1:9">
      <c r="A43" t="s">
        <v>17</v>
      </c>
      <c r="B43" s="30">
        <v>1.01968185577827E-15</v>
      </c>
      <c r="C43">
        <v>1.4152519023536169E-16</v>
      </c>
      <c r="D43">
        <v>7.2049495505535086</v>
      </c>
      <c r="E43">
        <v>6.9905125431685241E-10</v>
      </c>
      <c r="F43">
        <v>7.371176965688886E-16</v>
      </c>
      <c r="G43">
        <v>1.3022460149876493E-15</v>
      </c>
      <c r="H43">
        <v>7.371176965688886E-16</v>
      </c>
      <c r="I43">
        <v>1.3022460149876493E-15</v>
      </c>
    </row>
    <row r="44" spans="1:9">
      <c r="A44" t="s">
        <v>18</v>
      </c>
      <c r="B44">
        <v>1.1783210240688474E-14</v>
      </c>
      <c r="C44">
        <v>5.0711452267123287E-15</v>
      </c>
      <c r="D44">
        <v>2.3235797268475471</v>
      </c>
      <c r="E44">
        <v>2.3237861339258054E-2</v>
      </c>
      <c r="F44">
        <v>1.658342117694784E-15</v>
      </c>
      <c r="G44">
        <v>2.1908078363682166E-14</v>
      </c>
      <c r="H44">
        <v>1.658342117694784E-15</v>
      </c>
      <c r="I44">
        <v>2.1908078363682166E-14</v>
      </c>
    </row>
    <row r="45" spans="1:9">
      <c r="A45" s="17" t="s">
        <v>19</v>
      </c>
      <c r="B45" s="17">
        <v>10.999999999999993</v>
      </c>
      <c r="C45" s="17">
        <v>1.2265503277900085E-15</v>
      </c>
      <c r="D45" s="17">
        <v>8968241865639326</v>
      </c>
      <c r="E45" s="17">
        <v>0</v>
      </c>
      <c r="F45" s="17">
        <v>10.999999999999991</v>
      </c>
      <c r="G45" s="17">
        <v>10.999999999999995</v>
      </c>
      <c r="H45" s="17">
        <v>10.999999999999991</v>
      </c>
      <c r="I45" s="17">
        <v>10.999999999999995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72"/>
  <sheetViews>
    <sheetView topLeftCell="I1" workbookViewId="0">
      <selection activeCell="R1" activeCellId="4" sqref="F1:J1 M1 N1 O1 R1"/>
    </sheetView>
  </sheetViews>
  <sheetFormatPr defaultRowHeight="15" customHeight="1"/>
  <cols>
    <col min="1" max="1" width="12" bestFit="1" customWidth="1"/>
    <col min="2" max="2" width="13.7109375" bestFit="1" customWidth="1"/>
    <col min="3" max="3" width="20.28515625" bestFit="1" customWidth="1"/>
    <col min="4" max="4" width="12.28515625" bestFit="1" customWidth="1"/>
    <col min="5" max="5" width="14.85546875" style="16" customWidth="1"/>
    <col min="6" max="8" width="12.28515625" customWidth="1"/>
    <col min="9" max="9" width="19.85546875" style="10" bestFit="1" customWidth="1"/>
    <col min="10" max="10" width="17.5703125" style="10" bestFit="1" customWidth="1"/>
    <col min="11" max="11" width="17.5703125" style="36" customWidth="1"/>
    <col min="12" max="12" width="13.28515625" style="10" customWidth="1"/>
    <col min="13" max="13" width="14" style="10" bestFit="1" customWidth="1"/>
    <col min="14" max="15" width="14" customWidth="1"/>
    <col min="16" max="16" width="14.28515625" customWidth="1"/>
    <col min="17" max="17" width="10.28515625" customWidth="1"/>
    <col min="18" max="18" width="23.5703125" bestFit="1" customWidth="1"/>
    <col min="19" max="19" width="26.140625" customWidth="1"/>
    <col min="20" max="20" width="17" bestFit="1" customWidth="1"/>
    <col min="21" max="21" width="20.85546875" customWidth="1"/>
    <col min="22" max="22" width="12.7109375" bestFit="1" customWidth="1"/>
    <col min="23" max="23" width="18" bestFit="1" customWidth="1"/>
    <col min="24" max="24" width="13.7109375" bestFit="1" customWidth="1"/>
    <col min="25" max="25" width="18" bestFit="1" customWidth="1"/>
    <col min="26" max="26" width="12.140625" customWidth="1"/>
    <col min="27" max="27" width="12.5703125" customWidth="1"/>
  </cols>
  <sheetData>
    <row r="1" spans="1:21" ht="31.5">
      <c r="A1" s="61" t="s">
        <v>44</v>
      </c>
      <c r="B1" s="39" t="s">
        <v>45</v>
      </c>
      <c r="C1" s="39" t="s">
        <v>46</v>
      </c>
      <c r="D1" s="39" t="s">
        <v>47</v>
      </c>
      <c r="E1" s="40" t="s">
        <v>48</v>
      </c>
      <c r="F1" s="39" t="s">
        <v>49</v>
      </c>
      <c r="G1" s="39" t="s">
        <v>50</v>
      </c>
      <c r="H1" s="39" t="s">
        <v>51</v>
      </c>
      <c r="I1" s="41" t="s">
        <v>17</v>
      </c>
      <c r="J1" s="41" t="s">
        <v>18</v>
      </c>
      <c r="K1" s="42" t="s">
        <v>52</v>
      </c>
      <c r="L1" s="43" t="s">
        <v>53</v>
      </c>
      <c r="M1" s="41" t="s">
        <v>19</v>
      </c>
      <c r="N1" s="44" t="s">
        <v>20</v>
      </c>
      <c r="O1" s="45" t="s">
        <v>54</v>
      </c>
      <c r="P1" s="43" t="s">
        <v>55</v>
      </c>
      <c r="Q1" s="43" t="s">
        <v>56</v>
      </c>
      <c r="R1" s="64" t="s">
        <v>57</v>
      </c>
      <c r="S1" s="37" t="s">
        <v>58</v>
      </c>
      <c r="T1" s="10" t="s">
        <v>59</v>
      </c>
      <c r="U1" s="37" t="s">
        <v>60</v>
      </c>
    </row>
    <row r="2" spans="1:21" ht="15" customHeight="1">
      <c r="A2" s="5">
        <v>1001</v>
      </c>
      <c r="B2" s="6">
        <v>45292</v>
      </c>
      <c r="C2" s="5" t="s">
        <v>61</v>
      </c>
      <c r="D2" s="6">
        <v>45294</v>
      </c>
      <c r="E2" s="48">
        <f>'DATA '!$D2-'DATA '!$B2</f>
        <v>2</v>
      </c>
      <c r="F2" s="47" t="str">
        <f>TEXT('DATA '!$D2,"YYYY")</f>
        <v>2024</v>
      </c>
      <c r="G2" s="47" t="str">
        <f>TEXT('DATA '!$D2,"MMMM")</f>
        <v>January</v>
      </c>
      <c r="H2" s="47" t="str">
        <f>TEXT('DATA '!$B2,"DDDD")</f>
        <v>Monday</v>
      </c>
      <c r="I2" s="5">
        <v>49.99</v>
      </c>
      <c r="J2" s="7">
        <v>2</v>
      </c>
      <c r="K2" s="50">
        <f>'DATA '!$N2/'DATA '!$J2</f>
        <v>54.988999999999997</v>
      </c>
      <c r="L2" s="50">
        <f>'DATA '!$I2*'DATA '!$J2</f>
        <v>99.98</v>
      </c>
      <c r="M2" s="5">
        <v>9.9979999999999993</v>
      </c>
      <c r="N2" s="5">
        <v>109.97799999999999</v>
      </c>
      <c r="O2" s="51">
        <f>'DATA '!$M2/'DATA '!$N2</f>
        <v>9.0909090909090912E-2</v>
      </c>
      <c r="P2" s="52">
        <f>'DATA '!$I2*'DATA '!$J2</f>
        <v>99.98</v>
      </c>
      <c r="Q2" s="50">
        <f>'DATA '!$P2+'DATA '!$M2</f>
        <v>109.97800000000001</v>
      </c>
      <c r="R2" s="46">
        <f t="shared" ref="R2:R45" si="0">(COUNTIF(C:C, C2) - 1) / COUNTIF(C:C, C2)</f>
        <v>0</v>
      </c>
      <c r="S2" s="10">
        <f>I72/J72</f>
        <v>35.174404761904704</v>
      </c>
      <c r="T2" s="10">
        <f>M72/TOTALUSD</f>
        <v>9.0909090909091023E-2</v>
      </c>
      <c r="U2" s="10">
        <f>J72/A72</f>
        <v>2.4</v>
      </c>
    </row>
    <row r="3" spans="1:21" ht="15" customHeight="1">
      <c r="A3" s="5">
        <v>1002</v>
      </c>
      <c r="B3" s="6">
        <v>45292</v>
      </c>
      <c r="C3" s="5" t="s">
        <v>62</v>
      </c>
      <c r="D3" s="6">
        <v>45295</v>
      </c>
      <c r="E3" s="48">
        <f>'DATA '!$D3-'DATA '!$B3</f>
        <v>3</v>
      </c>
      <c r="F3" s="47" t="str">
        <f>TEXT('DATA '!$D3,"YYYY")</f>
        <v>2024</v>
      </c>
      <c r="G3" s="47" t="str">
        <f>TEXT('DATA '!$D3,"MMMM")</f>
        <v>January</v>
      </c>
      <c r="H3" s="47" t="str">
        <f>TEXT('DATA '!$B3,"DDDD")</f>
        <v>Monday</v>
      </c>
      <c r="I3" s="5">
        <v>29.99</v>
      </c>
      <c r="J3" s="7">
        <v>1</v>
      </c>
      <c r="K3" s="50">
        <f>'DATA '!$N3/'DATA '!$J3</f>
        <v>32.988999999999997</v>
      </c>
      <c r="L3" s="50">
        <f>'DATA '!$I3*'DATA '!$J3</f>
        <v>29.99</v>
      </c>
      <c r="M3" s="5">
        <v>2.9990000000000001</v>
      </c>
      <c r="N3" s="5">
        <v>32.988999999999997</v>
      </c>
      <c r="O3" s="51">
        <f>'DATA '!$M3/'DATA '!$N3</f>
        <v>9.0909090909090925E-2</v>
      </c>
      <c r="P3" s="52">
        <f>'DATA '!$I3*'DATA '!$J3</f>
        <v>29.99</v>
      </c>
      <c r="Q3" s="50">
        <f>'DATA '!$P3+'DATA '!$M3</f>
        <v>32.988999999999997</v>
      </c>
      <c r="R3" s="46">
        <f t="shared" si="0"/>
        <v>0</v>
      </c>
    </row>
    <row r="4" spans="1:21" ht="15" customHeight="1">
      <c r="A4" s="5">
        <v>1003</v>
      </c>
      <c r="B4" s="6">
        <v>45293</v>
      </c>
      <c r="C4" s="5" t="s">
        <v>63</v>
      </c>
      <c r="D4" s="6">
        <v>45298</v>
      </c>
      <c r="E4" s="48">
        <f>'DATA '!$D4-'DATA '!$B4</f>
        <v>5</v>
      </c>
      <c r="F4" s="47" t="str">
        <f>TEXT('DATA '!$D4,"YYYY")</f>
        <v>2024</v>
      </c>
      <c r="G4" s="47" t="str">
        <f>TEXT('DATA '!$D4,"MMMM")</f>
        <v>January</v>
      </c>
      <c r="H4" s="47" t="str">
        <f>TEXT('DATA '!$B4,"DDDD")</f>
        <v>Tuesday</v>
      </c>
      <c r="I4" s="5">
        <v>99.99</v>
      </c>
      <c r="J4" s="7">
        <v>3</v>
      </c>
      <c r="K4" s="50">
        <f>'DATA '!$N4/'DATA '!$J4</f>
        <v>109.98899999999999</v>
      </c>
      <c r="L4" s="50">
        <f>'DATA '!$I4*'DATA '!$J4</f>
        <v>299.96999999999997</v>
      </c>
      <c r="M4" s="5">
        <v>29.997</v>
      </c>
      <c r="N4" s="5">
        <v>329.96699999999998</v>
      </c>
      <c r="O4" s="51">
        <f>'DATA '!$M4/'DATA '!$N4</f>
        <v>9.0909090909090912E-2</v>
      </c>
      <c r="P4" s="52">
        <f>'DATA '!$I4*'DATA '!$J4</f>
        <v>299.96999999999997</v>
      </c>
      <c r="Q4" s="50">
        <f>'DATA '!$P4+'DATA '!$M4</f>
        <v>329.96699999999998</v>
      </c>
      <c r="R4" s="46">
        <f t="shared" si="0"/>
        <v>0.5</v>
      </c>
    </row>
    <row r="5" spans="1:21" ht="15" customHeight="1">
      <c r="A5" s="5">
        <v>1004</v>
      </c>
      <c r="B5" s="6">
        <v>45293</v>
      </c>
      <c r="C5" s="5" t="s">
        <v>64</v>
      </c>
      <c r="D5" s="6">
        <v>45294</v>
      </c>
      <c r="E5" s="48">
        <f>'DATA '!$D5-'DATA '!$B5</f>
        <v>1</v>
      </c>
      <c r="F5" s="47" t="str">
        <f>TEXT('DATA '!$D5,"YYYY")</f>
        <v>2024</v>
      </c>
      <c r="G5" s="47" t="str">
        <f>TEXT('DATA '!$D5,"MMMM")</f>
        <v>January</v>
      </c>
      <c r="H5" s="47" t="str">
        <f>TEXT('DATA '!$B5,"DDDD")</f>
        <v>Tuesday</v>
      </c>
      <c r="I5" s="5">
        <v>19.989999999999998</v>
      </c>
      <c r="J5" s="7">
        <v>4</v>
      </c>
      <c r="K5" s="50">
        <f>'DATA '!$N5/'DATA '!$J5</f>
        <v>21.989000000000001</v>
      </c>
      <c r="L5" s="50">
        <f>'DATA '!$I5*'DATA '!$J5</f>
        <v>79.959999999999994</v>
      </c>
      <c r="M5" s="5">
        <v>7.9960000000000004</v>
      </c>
      <c r="N5" s="5">
        <v>87.956000000000003</v>
      </c>
      <c r="O5" s="51">
        <f>'DATA '!$M5/'DATA '!$N5</f>
        <v>9.0909090909090912E-2</v>
      </c>
      <c r="P5" s="52">
        <f>'DATA '!$I5*'DATA '!$J5</f>
        <v>79.959999999999994</v>
      </c>
      <c r="Q5" s="50">
        <f>'DATA '!$P5+'DATA '!$M5</f>
        <v>87.955999999999989</v>
      </c>
      <c r="R5" s="46">
        <f t="shared" si="0"/>
        <v>0.66666666666666663</v>
      </c>
    </row>
    <row r="6" spans="1:21" ht="15" customHeight="1">
      <c r="A6" s="5">
        <v>1005</v>
      </c>
      <c r="B6" s="6">
        <v>45294</v>
      </c>
      <c r="C6" s="5" t="s">
        <v>65</v>
      </c>
      <c r="D6" s="6">
        <v>45299</v>
      </c>
      <c r="E6" s="48">
        <f>'DATA '!$D6-'DATA '!$B6</f>
        <v>5</v>
      </c>
      <c r="F6" s="47" t="str">
        <f>TEXT('DATA '!$D6,"YYYY")</f>
        <v>2024</v>
      </c>
      <c r="G6" s="47" t="str">
        <f>TEXT('DATA '!$D6,"MMMM")</f>
        <v>January</v>
      </c>
      <c r="H6" s="47" t="str">
        <f>TEXT('DATA '!$B6,"DDDD")</f>
        <v>Wednesday</v>
      </c>
      <c r="I6" s="5">
        <v>149.99</v>
      </c>
      <c r="J6" s="7">
        <v>1</v>
      </c>
      <c r="K6" s="50">
        <f>'DATA '!$N6/'DATA '!$J6</f>
        <v>164.989</v>
      </c>
      <c r="L6" s="50">
        <f>'DATA '!$I6*'DATA '!$J6</f>
        <v>149.99</v>
      </c>
      <c r="M6" s="5">
        <v>14.999000000000001</v>
      </c>
      <c r="N6" s="5">
        <v>164.989</v>
      </c>
      <c r="O6" s="51">
        <f>'DATA '!$M6/'DATA '!$N6</f>
        <v>9.0909090909090912E-2</v>
      </c>
      <c r="P6" s="52">
        <f>'DATA '!$I6*'DATA '!$J6</f>
        <v>149.99</v>
      </c>
      <c r="Q6" s="50">
        <f>'DATA '!$P6+'DATA '!$M6</f>
        <v>164.989</v>
      </c>
      <c r="R6" s="46">
        <f t="shared" si="0"/>
        <v>0.66666666666666663</v>
      </c>
    </row>
    <row r="7" spans="1:21" ht="15" customHeight="1">
      <c r="A7" s="5">
        <v>1006</v>
      </c>
      <c r="B7" s="6">
        <v>45294</v>
      </c>
      <c r="C7" s="5" t="s">
        <v>66</v>
      </c>
      <c r="D7" s="6">
        <v>45297</v>
      </c>
      <c r="E7" s="48">
        <f>'DATA '!$D7-'DATA '!$B7</f>
        <v>3</v>
      </c>
      <c r="F7" s="47" t="str">
        <f>TEXT('DATA '!$D7,"YYYY")</f>
        <v>2024</v>
      </c>
      <c r="G7" s="47" t="str">
        <f>TEXT('DATA '!$D7,"MMMM")</f>
        <v>January</v>
      </c>
      <c r="H7" s="47" t="str">
        <f>TEXT('DATA '!$B7,"DDDD")</f>
        <v>Wednesday</v>
      </c>
      <c r="I7" s="5">
        <v>79.989999999999995</v>
      </c>
      <c r="J7" s="7">
        <v>2</v>
      </c>
      <c r="K7" s="50">
        <f>'DATA '!$N7/'DATA '!$J7</f>
        <v>87.989000000000004</v>
      </c>
      <c r="L7" s="50">
        <f>'DATA '!$I7*'DATA '!$J7</f>
        <v>159.97999999999999</v>
      </c>
      <c r="M7" s="5">
        <v>15.997999999999999</v>
      </c>
      <c r="N7" s="5">
        <v>175.97800000000001</v>
      </c>
      <c r="O7" s="51">
        <f>'DATA '!$M7/'DATA '!$N7</f>
        <v>9.0909090909090898E-2</v>
      </c>
      <c r="P7" s="52">
        <f>'DATA '!$I7*'DATA '!$J7</f>
        <v>159.97999999999999</v>
      </c>
      <c r="Q7" s="50">
        <f>'DATA '!$P7+'DATA '!$M7</f>
        <v>175.97799999999998</v>
      </c>
      <c r="R7" s="46">
        <f t="shared" si="0"/>
        <v>0</v>
      </c>
    </row>
    <row r="8" spans="1:21" ht="15" customHeight="1">
      <c r="A8" s="5">
        <v>1007</v>
      </c>
      <c r="B8" s="6">
        <v>45295</v>
      </c>
      <c r="C8" s="5" t="s">
        <v>67</v>
      </c>
      <c r="D8" s="6">
        <v>45297</v>
      </c>
      <c r="E8" s="48">
        <f>'DATA '!$D8-'DATA '!$B8</f>
        <v>2</v>
      </c>
      <c r="F8" s="47" t="str">
        <f>TEXT('DATA '!$D8,"YYYY")</f>
        <v>2024</v>
      </c>
      <c r="G8" s="47" t="str">
        <f>TEXT('DATA '!$D8,"MMMM")</f>
        <v>January</v>
      </c>
      <c r="H8" s="47" t="str">
        <f>TEXT('DATA '!$B8,"DDDD")</f>
        <v>Thursday</v>
      </c>
      <c r="I8" s="5">
        <v>39.99</v>
      </c>
      <c r="J8" s="7">
        <v>3</v>
      </c>
      <c r="K8" s="50">
        <f>'DATA '!$N8/'DATA '!$J8</f>
        <v>43.989000000000004</v>
      </c>
      <c r="L8" s="50">
        <f>'DATA '!$I8*'DATA '!$J8</f>
        <v>119.97</v>
      </c>
      <c r="M8" s="5">
        <v>11.997</v>
      </c>
      <c r="N8" s="5">
        <v>131.96700000000001</v>
      </c>
      <c r="O8" s="51">
        <f>'DATA '!$M8/'DATA '!$N8</f>
        <v>9.0909090909090898E-2</v>
      </c>
      <c r="P8" s="52">
        <f>'DATA '!$I8*'DATA '!$J8</f>
        <v>119.97</v>
      </c>
      <c r="Q8" s="50">
        <f>'DATA '!$P8+'DATA '!$M8</f>
        <v>131.96699999999998</v>
      </c>
      <c r="R8" s="46">
        <f t="shared" si="0"/>
        <v>0</v>
      </c>
    </row>
    <row r="9" spans="1:21" ht="15" customHeight="1">
      <c r="A9" s="5">
        <v>1008</v>
      </c>
      <c r="B9" s="6">
        <v>45295</v>
      </c>
      <c r="C9" s="5" t="s">
        <v>68</v>
      </c>
      <c r="D9" s="6">
        <v>45300</v>
      </c>
      <c r="E9" s="48">
        <f>'DATA '!$D9-'DATA '!$B9</f>
        <v>5</v>
      </c>
      <c r="F9" s="47" t="str">
        <f>TEXT('DATA '!$D9,"YYYY")</f>
        <v>2024</v>
      </c>
      <c r="G9" s="47" t="str">
        <f>TEXT('DATA '!$D9,"MMMM")</f>
        <v>January</v>
      </c>
      <c r="H9" s="47" t="str">
        <f>TEXT('DATA '!$B9,"DDDD")</f>
        <v>Thursday</v>
      </c>
      <c r="I9" s="5">
        <v>69.989999999999995</v>
      </c>
      <c r="J9" s="7">
        <v>2</v>
      </c>
      <c r="K9" s="50">
        <f>'DATA '!$N9/'DATA '!$J9</f>
        <v>76.989000000000004</v>
      </c>
      <c r="L9" s="50">
        <f>'DATA '!$I9*'DATA '!$J9</f>
        <v>139.97999999999999</v>
      </c>
      <c r="M9" s="5">
        <v>13.997999999999999</v>
      </c>
      <c r="N9" s="5">
        <v>153.97800000000001</v>
      </c>
      <c r="O9" s="51">
        <f>'DATA '!$M9/'DATA '!$N9</f>
        <v>9.0909090909090898E-2</v>
      </c>
      <c r="P9" s="52">
        <f>'DATA '!$I9*'DATA '!$J9</f>
        <v>139.97999999999999</v>
      </c>
      <c r="Q9" s="50">
        <f>'DATA '!$P9+'DATA '!$M9</f>
        <v>153.97799999999998</v>
      </c>
      <c r="R9" s="46">
        <f t="shared" si="0"/>
        <v>0</v>
      </c>
    </row>
    <row r="10" spans="1:21" ht="15" customHeight="1">
      <c r="A10" s="5">
        <v>1009</v>
      </c>
      <c r="B10" s="6">
        <v>45296</v>
      </c>
      <c r="C10" s="5" t="s">
        <v>69</v>
      </c>
      <c r="D10" s="6">
        <v>45297</v>
      </c>
      <c r="E10" s="48">
        <f>'DATA '!$D10-'DATA '!$B10</f>
        <v>1</v>
      </c>
      <c r="F10" s="47" t="str">
        <f>TEXT('DATA '!$D10,"YYYY")</f>
        <v>2024</v>
      </c>
      <c r="G10" s="47" t="str">
        <f>TEXT('DATA '!$D10,"MMMM")</f>
        <v>January</v>
      </c>
      <c r="H10" s="47" t="str">
        <f>TEXT('DATA '!$B10,"DDDD")</f>
        <v>Friday</v>
      </c>
      <c r="I10" s="5">
        <v>89.99</v>
      </c>
      <c r="J10" s="7">
        <v>1</v>
      </c>
      <c r="K10" s="50">
        <f>'DATA '!$N10/'DATA '!$J10</f>
        <v>98.989000000000004</v>
      </c>
      <c r="L10" s="50">
        <f>'DATA '!$I10*'DATA '!$J10</f>
        <v>89.99</v>
      </c>
      <c r="M10" s="5">
        <v>8.9990000000000006</v>
      </c>
      <c r="N10" s="5">
        <v>98.989000000000004</v>
      </c>
      <c r="O10" s="51">
        <f>'DATA '!$M10/'DATA '!$N10</f>
        <v>9.0909090909090912E-2</v>
      </c>
      <c r="P10" s="52">
        <f>'DATA '!$I10*'DATA '!$J10</f>
        <v>89.99</v>
      </c>
      <c r="Q10" s="50">
        <f>'DATA '!$P10+'DATA '!$M10</f>
        <v>98.98899999999999</v>
      </c>
      <c r="R10" s="46">
        <f t="shared" si="0"/>
        <v>0</v>
      </c>
    </row>
    <row r="11" spans="1:21" ht="15" customHeight="1">
      <c r="A11" s="5">
        <v>1010</v>
      </c>
      <c r="B11" s="6">
        <v>45296</v>
      </c>
      <c r="C11" s="5" t="s">
        <v>70</v>
      </c>
      <c r="D11" s="6">
        <v>45299</v>
      </c>
      <c r="E11" s="48">
        <f>'DATA '!$D11-'DATA '!$B11</f>
        <v>3</v>
      </c>
      <c r="F11" s="47" t="str">
        <f>TEXT('DATA '!$D11,"YYYY")</f>
        <v>2024</v>
      </c>
      <c r="G11" s="47" t="str">
        <f>TEXT('DATA '!$D11,"MMMM")</f>
        <v>January</v>
      </c>
      <c r="H11" s="47" t="str">
        <f>TEXT('DATA '!$B11,"DDDD")</f>
        <v>Friday</v>
      </c>
      <c r="I11" s="5">
        <v>199.99</v>
      </c>
      <c r="J11" s="7">
        <v>1</v>
      </c>
      <c r="K11" s="50">
        <f>'DATA '!$N11/'DATA '!$J11</f>
        <v>219.989</v>
      </c>
      <c r="L11" s="50">
        <f>'DATA '!$I11*'DATA '!$J11</f>
        <v>199.99</v>
      </c>
      <c r="M11" s="5">
        <v>19.998999999999999</v>
      </c>
      <c r="N11" s="5">
        <v>219.989</v>
      </c>
      <c r="O11" s="51">
        <f>'DATA '!$M11/'DATA '!$N11</f>
        <v>9.0909090909090898E-2</v>
      </c>
      <c r="P11" s="52">
        <f>'DATA '!$I11*'DATA '!$J11</f>
        <v>199.99</v>
      </c>
      <c r="Q11" s="50">
        <f>'DATA '!$P11+'DATA '!$M11</f>
        <v>219.989</v>
      </c>
      <c r="R11" s="46">
        <f t="shared" si="0"/>
        <v>0</v>
      </c>
    </row>
    <row r="12" spans="1:21" ht="15" customHeight="1">
      <c r="A12" s="5">
        <v>1011</v>
      </c>
      <c r="B12" s="6">
        <v>45297</v>
      </c>
      <c r="C12" s="5" t="s">
        <v>71</v>
      </c>
      <c r="D12" s="6">
        <v>45298</v>
      </c>
      <c r="E12" s="48">
        <f>'DATA '!$D12-'DATA '!$B12</f>
        <v>1</v>
      </c>
      <c r="F12" s="47" t="str">
        <f>TEXT('DATA '!$D12,"YYYY")</f>
        <v>2024</v>
      </c>
      <c r="G12" s="47" t="str">
        <f>TEXT('DATA '!$D12,"MMMM")</f>
        <v>January</v>
      </c>
      <c r="H12" s="47" t="str">
        <f>TEXT('DATA '!$B12,"DDDD")</f>
        <v>Saturday</v>
      </c>
      <c r="I12" s="5">
        <v>29.99</v>
      </c>
      <c r="J12" s="7">
        <v>5</v>
      </c>
      <c r="K12" s="50">
        <f>'DATA '!$N12/'DATA '!$J12</f>
        <v>32.988999999999997</v>
      </c>
      <c r="L12" s="50">
        <f>'DATA '!$I12*'DATA '!$J12</f>
        <v>149.94999999999999</v>
      </c>
      <c r="M12" s="5">
        <v>14.994999999999999</v>
      </c>
      <c r="N12" s="5">
        <v>164.94499999999999</v>
      </c>
      <c r="O12" s="51">
        <f>'DATA '!$M12/'DATA '!$N12</f>
        <v>9.0909090909090912E-2</v>
      </c>
      <c r="P12" s="52">
        <f>'DATA '!$I12*'DATA '!$J12</f>
        <v>149.94999999999999</v>
      </c>
      <c r="Q12" s="50">
        <f>'DATA '!$P12+'DATA '!$M12</f>
        <v>164.94499999999999</v>
      </c>
      <c r="R12" s="46">
        <f t="shared" si="0"/>
        <v>0</v>
      </c>
    </row>
    <row r="13" spans="1:21" ht="15" customHeight="1">
      <c r="A13" s="5">
        <v>1012</v>
      </c>
      <c r="B13" s="6">
        <v>45297</v>
      </c>
      <c r="C13" s="5" t="s">
        <v>72</v>
      </c>
      <c r="D13" s="6">
        <v>45299</v>
      </c>
      <c r="E13" s="48">
        <f>'DATA '!$D13-'DATA '!$B13</f>
        <v>2</v>
      </c>
      <c r="F13" s="47" t="str">
        <f>TEXT('DATA '!$D13,"YYYY")</f>
        <v>2024</v>
      </c>
      <c r="G13" s="47" t="str">
        <f>TEXT('DATA '!$D13,"MMMM")</f>
        <v>January</v>
      </c>
      <c r="H13" s="47" t="str">
        <f>TEXT('DATA '!$B13,"DDDD")</f>
        <v>Saturday</v>
      </c>
      <c r="I13" s="5">
        <v>79.989999999999995</v>
      </c>
      <c r="J13" s="7">
        <v>2</v>
      </c>
      <c r="K13" s="50">
        <f>'DATA '!$N13/'DATA '!$J13</f>
        <v>87.989000000000004</v>
      </c>
      <c r="L13" s="50">
        <f>'DATA '!$I13*'DATA '!$J13</f>
        <v>159.97999999999999</v>
      </c>
      <c r="M13" s="5">
        <v>15.997999999999999</v>
      </c>
      <c r="N13" s="5">
        <v>175.97800000000001</v>
      </c>
      <c r="O13" s="51">
        <f>'DATA '!$M13/'DATA '!$N13</f>
        <v>9.0909090909090898E-2</v>
      </c>
      <c r="P13" s="52">
        <f>'DATA '!$I13*'DATA '!$J13</f>
        <v>159.97999999999999</v>
      </c>
      <c r="Q13" s="50">
        <f>'DATA '!$P13+'DATA '!$M13</f>
        <v>175.97799999999998</v>
      </c>
      <c r="R13" s="46">
        <f t="shared" si="0"/>
        <v>0</v>
      </c>
    </row>
    <row r="14" spans="1:21" ht="15" customHeight="1">
      <c r="A14" s="5">
        <v>1013</v>
      </c>
      <c r="B14" s="6">
        <v>45298</v>
      </c>
      <c r="C14" s="5" t="s">
        <v>73</v>
      </c>
      <c r="D14" s="6">
        <v>45300</v>
      </c>
      <c r="E14" s="48">
        <f>'DATA '!$D14-'DATA '!$B14</f>
        <v>2</v>
      </c>
      <c r="F14" s="47" t="str">
        <f>TEXT('DATA '!$D14,"YYYY")</f>
        <v>2024</v>
      </c>
      <c r="G14" s="47" t="str">
        <f>TEXT('DATA '!$D14,"MMMM")</f>
        <v>January</v>
      </c>
      <c r="H14" s="47" t="str">
        <f>TEXT('DATA '!$B14,"DDDD")</f>
        <v>Sunday</v>
      </c>
      <c r="I14" s="5">
        <v>49.99</v>
      </c>
      <c r="J14" s="7">
        <v>3</v>
      </c>
      <c r="K14" s="50">
        <f>'DATA '!$N14/'DATA '!$J14</f>
        <v>54.989000000000004</v>
      </c>
      <c r="L14" s="50">
        <f>'DATA '!$I14*'DATA '!$J14</f>
        <v>149.97</v>
      </c>
      <c r="M14" s="5">
        <v>14.997</v>
      </c>
      <c r="N14" s="5">
        <v>164.96700000000001</v>
      </c>
      <c r="O14" s="51">
        <f>'DATA '!$M14/'DATA '!$N14</f>
        <v>9.0909090909090898E-2</v>
      </c>
      <c r="P14" s="52">
        <f>'DATA '!$I14*'DATA '!$J14</f>
        <v>149.97</v>
      </c>
      <c r="Q14" s="50">
        <f>'DATA '!$P14+'DATA '!$M14</f>
        <v>164.96699999999998</v>
      </c>
      <c r="R14" s="46">
        <f t="shared" si="0"/>
        <v>0</v>
      </c>
    </row>
    <row r="15" spans="1:21" ht="15" customHeight="1">
      <c r="A15" s="5">
        <v>1014</v>
      </c>
      <c r="B15" s="6">
        <v>45298</v>
      </c>
      <c r="C15" s="5" t="s">
        <v>74</v>
      </c>
      <c r="D15" s="6">
        <v>45303</v>
      </c>
      <c r="E15" s="48">
        <f>'DATA '!$D15-'DATA '!$B15</f>
        <v>5</v>
      </c>
      <c r="F15" s="47" t="str">
        <f>TEXT('DATA '!$D15,"YYYY")</f>
        <v>2024</v>
      </c>
      <c r="G15" s="47" t="str">
        <f>TEXT('DATA '!$D15,"MMMM")</f>
        <v>January</v>
      </c>
      <c r="H15" s="47" t="str">
        <f>TEXT('DATA '!$B15,"DDDD")</f>
        <v>Sunday</v>
      </c>
      <c r="I15" s="5">
        <v>129.99</v>
      </c>
      <c r="J15" s="7">
        <v>1</v>
      </c>
      <c r="K15" s="50">
        <f>'DATA '!$N15/'DATA '!$J15</f>
        <v>142.989</v>
      </c>
      <c r="L15" s="50">
        <f>'DATA '!$I15*'DATA '!$J15</f>
        <v>129.99</v>
      </c>
      <c r="M15" s="5">
        <v>12.999000000000001</v>
      </c>
      <c r="N15" s="5">
        <v>142.989</v>
      </c>
      <c r="O15" s="51">
        <f>'DATA '!$M15/'DATA '!$N15</f>
        <v>9.0909090909090912E-2</v>
      </c>
      <c r="P15" s="52">
        <f>'DATA '!$I15*'DATA '!$J15</f>
        <v>129.99</v>
      </c>
      <c r="Q15" s="50">
        <f>'DATA '!$P15+'DATA '!$M15</f>
        <v>142.989</v>
      </c>
      <c r="R15" s="46">
        <f t="shared" si="0"/>
        <v>0</v>
      </c>
    </row>
    <row r="16" spans="1:21" ht="15" customHeight="1">
      <c r="A16" s="5">
        <v>1015</v>
      </c>
      <c r="B16" s="6">
        <v>45299</v>
      </c>
      <c r="C16" s="5" t="s">
        <v>75</v>
      </c>
      <c r="D16" s="6">
        <v>45304</v>
      </c>
      <c r="E16" s="48">
        <f>'DATA '!$D16-'DATA '!$B16</f>
        <v>5</v>
      </c>
      <c r="F16" s="47" t="str">
        <f>TEXT('DATA '!$D16,"YYYY")</f>
        <v>2024</v>
      </c>
      <c r="G16" s="47" t="str">
        <f>TEXT('DATA '!$D16,"MMMM")</f>
        <v>January</v>
      </c>
      <c r="H16" s="47" t="str">
        <f>TEXT('DATA '!$B16,"DDDD")</f>
        <v>Monday</v>
      </c>
      <c r="I16" s="5">
        <v>19.989999999999998</v>
      </c>
      <c r="J16" s="7">
        <v>4</v>
      </c>
      <c r="K16" s="50">
        <f>'DATA '!$N16/'DATA '!$J16</f>
        <v>21.989000000000001</v>
      </c>
      <c r="L16" s="50">
        <f>'DATA '!$I16*'DATA '!$J16</f>
        <v>79.959999999999994</v>
      </c>
      <c r="M16" s="5">
        <v>7.9960000000000004</v>
      </c>
      <c r="N16" s="5">
        <v>87.956000000000003</v>
      </c>
      <c r="O16" s="51">
        <f>'DATA '!$M16/'DATA '!$N16</f>
        <v>9.0909090909090912E-2</v>
      </c>
      <c r="P16" s="52">
        <f>'DATA '!$I16*'DATA '!$J16</f>
        <v>79.959999999999994</v>
      </c>
      <c r="Q16" s="50">
        <f>'DATA '!$P16+'DATA '!$M16</f>
        <v>87.955999999999989</v>
      </c>
      <c r="R16" s="46">
        <f t="shared" si="0"/>
        <v>0</v>
      </c>
    </row>
    <row r="17" spans="1:18" ht="15" customHeight="1">
      <c r="A17" s="5">
        <v>1016</v>
      </c>
      <c r="B17" s="6">
        <v>45299</v>
      </c>
      <c r="C17" s="5" t="s">
        <v>76</v>
      </c>
      <c r="D17" s="6">
        <v>45303</v>
      </c>
      <c r="E17" s="48">
        <f>'DATA '!$D17-'DATA '!$B17</f>
        <v>4</v>
      </c>
      <c r="F17" s="47" t="str">
        <f>TEXT('DATA '!$D17,"YYYY")</f>
        <v>2024</v>
      </c>
      <c r="G17" s="47" t="str">
        <f>TEXT('DATA '!$D17,"MMMM")</f>
        <v>January</v>
      </c>
      <c r="H17" s="47" t="str">
        <f>TEXT('DATA '!$B17,"DDDD")</f>
        <v>Monday</v>
      </c>
      <c r="I17" s="5">
        <v>149.99</v>
      </c>
      <c r="J17" s="7">
        <v>1</v>
      </c>
      <c r="K17" s="50">
        <f>'DATA '!$N17/'DATA '!$J17</f>
        <v>164.989</v>
      </c>
      <c r="L17" s="50">
        <f>'DATA '!$I17*'DATA '!$J17</f>
        <v>149.99</v>
      </c>
      <c r="M17" s="5">
        <v>14.999000000000001</v>
      </c>
      <c r="N17" s="5">
        <v>164.989</v>
      </c>
      <c r="O17" s="51">
        <f>'DATA '!$M17/'DATA '!$N17</f>
        <v>9.0909090909090912E-2</v>
      </c>
      <c r="P17" s="52">
        <f>'DATA '!$I17*'DATA '!$J17</f>
        <v>149.99</v>
      </c>
      <c r="Q17" s="50">
        <f>'DATA '!$P17+'DATA '!$M17</f>
        <v>164.989</v>
      </c>
      <c r="R17" s="46">
        <f t="shared" si="0"/>
        <v>0</v>
      </c>
    </row>
    <row r="18" spans="1:18" ht="15" customHeight="1">
      <c r="A18" s="5">
        <v>1017</v>
      </c>
      <c r="B18" s="6">
        <v>45300</v>
      </c>
      <c r="C18" s="5" t="s">
        <v>77</v>
      </c>
      <c r="D18" s="6">
        <v>45305</v>
      </c>
      <c r="E18" s="48">
        <f>'DATA '!$D18-'DATA '!$B18</f>
        <v>5</v>
      </c>
      <c r="F18" s="47" t="str">
        <f>TEXT('DATA '!$D18,"YYYY")</f>
        <v>2024</v>
      </c>
      <c r="G18" s="47" t="str">
        <f>TEXT('DATA '!$D18,"MMMM")</f>
        <v>January</v>
      </c>
      <c r="H18" s="47" t="str">
        <f>TEXT('DATA '!$B18,"DDDD")</f>
        <v>Tuesday</v>
      </c>
      <c r="I18" s="5">
        <v>69.989999999999995</v>
      </c>
      <c r="J18" s="7">
        <v>2</v>
      </c>
      <c r="K18" s="50">
        <f>'DATA '!$N18/'DATA '!$J18</f>
        <v>76.989000000000004</v>
      </c>
      <c r="L18" s="50">
        <f>'DATA '!$I18*'DATA '!$J18</f>
        <v>139.97999999999999</v>
      </c>
      <c r="M18" s="5">
        <v>13.997999999999999</v>
      </c>
      <c r="N18" s="5">
        <v>153.97800000000001</v>
      </c>
      <c r="O18" s="51">
        <f>'DATA '!$M18/'DATA '!$N18</f>
        <v>9.0909090909090898E-2</v>
      </c>
      <c r="P18" s="52">
        <f>'DATA '!$I18*'DATA '!$J18</f>
        <v>139.97999999999999</v>
      </c>
      <c r="Q18" s="50">
        <f>'DATA '!$P18+'DATA '!$M18</f>
        <v>153.97799999999998</v>
      </c>
      <c r="R18" s="46">
        <f t="shared" si="0"/>
        <v>0</v>
      </c>
    </row>
    <row r="19" spans="1:18" ht="15" customHeight="1">
      <c r="A19" s="5">
        <v>1018</v>
      </c>
      <c r="B19" s="6">
        <v>45300</v>
      </c>
      <c r="C19" s="5" t="s">
        <v>78</v>
      </c>
      <c r="D19" s="6">
        <v>45303</v>
      </c>
      <c r="E19" s="48">
        <f>'DATA '!$D19-'DATA '!$B19</f>
        <v>3</v>
      </c>
      <c r="F19" s="47" t="str">
        <f>TEXT('DATA '!$D19,"YYYY")</f>
        <v>2024</v>
      </c>
      <c r="G19" s="47" t="str">
        <f>TEXT('DATA '!$D19,"MMMM")</f>
        <v>January</v>
      </c>
      <c r="H19" s="47" t="str">
        <f>TEXT('DATA '!$B19,"DDDD")</f>
        <v>Tuesday</v>
      </c>
      <c r="I19" s="5">
        <v>39.99</v>
      </c>
      <c r="J19" s="7">
        <v>3</v>
      </c>
      <c r="K19" s="50">
        <f>'DATA '!$N19/'DATA '!$J19</f>
        <v>43.989000000000004</v>
      </c>
      <c r="L19" s="50">
        <f>'DATA '!$I19*'DATA '!$J19</f>
        <v>119.97</v>
      </c>
      <c r="M19" s="5">
        <v>11.997</v>
      </c>
      <c r="N19" s="5">
        <v>131.96700000000001</v>
      </c>
      <c r="O19" s="51">
        <f>'DATA '!$M19/'DATA '!$N19</f>
        <v>9.0909090909090898E-2</v>
      </c>
      <c r="P19" s="52">
        <f>'DATA '!$I19*'DATA '!$J19</f>
        <v>119.97</v>
      </c>
      <c r="Q19" s="50">
        <f>'DATA '!$P19+'DATA '!$M19</f>
        <v>131.96699999999998</v>
      </c>
      <c r="R19" s="46">
        <f t="shared" si="0"/>
        <v>0</v>
      </c>
    </row>
    <row r="20" spans="1:18" ht="15" customHeight="1">
      <c r="A20" s="5">
        <v>1019</v>
      </c>
      <c r="B20" s="6">
        <v>45301</v>
      </c>
      <c r="C20" s="5" t="s">
        <v>79</v>
      </c>
      <c r="D20" s="6">
        <v>45302</v>
      </c>
      <c r="E20" s="48">
        <f>'DATA '!$D20-'DATA '!$B20</f>
        <v>1</v>
      </c>
      <c r="F20" s="47" t="str">
        <f>TEXT('DATA '!$D20,"YYYY")</f>
        <v>2024</v>
      </c>
      <c r="G20" s="47" t="str">
        <f>TEXT('DATA '!$D20,"MMMM")</f>
        <v>January</v>
      </c>
      <c r="H20" s="47" t="str">
        <f>TEXT('DATA '!$B20,"DDDD")</f>
        <v>Wednesday</v>
      </c>
      <c r="I20" s="5">
        <v>199.99</v>
      </c>
      <c r="J20" s="7">
        <v>1</v>
      </c>
      <c r="K20" s="50">
        <f>'DATA '!$N20/'DATA '!$J20</f>
        <v>219.989</v>
      </c>
      <c r="L20" s="50">
        <f>'DATA '!$I20*'DATA '!$J20</f>
        <v>199.99</v>
      </c>
      <c r="M20" s="5">
        <v>19.998999999999999</v>
      </c>
      <c r="N20" s="5">
        <v>219.989</v>
      </c>
      <c r="O20" s="51">
        <f>'DATA '!$M20/'DATA '!$N20</f>
        <v>9.0909090909090898E-2</v>
      </c>
      <c r="P20" s="52">
        <f>'DATA '!$I20*'DATA '!$J20</f>
        <v>199.99</v>
      </c>
      <c r="Q20" s="50">
        <f>'DATA '!$P20+'DATA '!$M20</f>
        <v>219.989</v>
      </c>
      <c r="R20" s="46">
        <f t="shared" si="0"/>
        <v>0</v>
      </c>
    </row>
    <row r="21" spans="1:18" ht="15" customHeight="1">
      <c r="A21" s="5">
        <v>1020</v>
      </c>
      <c r="B21" s="6">
        <v>45301</v>
      </c>
      <c r="C21" s="5" t="s">
        <v>80</v>
      </c>
      <c r="D21" s="6">
        <v>45305</v>
      </c>
      <c r="E21" s="48">
        <f>'DATA '!$D21-'DATA '!$B21</f>
        <v>4</v>
      </c>
      <c r="F21" s="47" t="str">
        <f>TEXT('DATA '!$D21,"YYYY")</f>
        <v>2024</v>
      </c>
      <c r="G21" s="47" t="str">
        <f>TEXT('DATA '!$D21,"MMMM")</f>
        <v>January</v>
      </c>
      <c r="H21" s="47" t="str">
        <f>TEXT('DATA '!$B21,"DDDD")</f>
        <v>Wednesday</v>
      </c>
      <c r="I21" s="5">
        <v>29.99</v>
      </c>
      <c r="J21" s="7">
        <v>5</v>
      </c>
      <c r="K21" s="50">
        <f>'DATA '!$N21/'DATA '!$J21</f>
        <v>32.988999999999997</v>
      </c>
      <c r="L21" s="50">
        <f>'DATA '!$I21*'DATA '!$J21</f>
        <v>149.94999999999999</v>
      </c>
      <c r="M21" s="5">
        <v>14.994999999999999</v>
      </c>
      <c r="N21" s="5">
        <v>164.94499999999999</v>
      </c>
      <c r="O21" s="51">
        <f>'DATA '!$M21/'DATA '!$N21</f>
        <v>9.0909090909090912E-2</v>
      </c>
      <c r="P21" s="52">
        <f>'DATA '!$I21*'DATA '!$J21</f>
        <v>149.94999999999999</v>
      </c>
      <c r="Q21" s="50">
        <f>'DATA '!$P21+'DATA '!$M21</f>
        <v>164.94499999999999</v>
      </c>
      <c r="R21" s="46">
        <f t="shared" si="0"/>
        <v>0.66666666666666663</v>
      </c>
    </row>
    <row r="22" spans="1:18" ht="15" customHeight="1">
      <c r="A22" s="5">
        <v>1021</v>
      </c>
      <c r="B22" s="6">
        <v>45302</v>
      </c>
      <c r="C22" s="5" t="s">
        <v>81</v>
      </c>
      <c r="D22" s="6">
        <v>45305</v>
      </c>
      <c r="E22" s="48">
        <f>'DATA '!$D22-'DATA '!$B22</f>
        <v>3</v>
      </c>
      <c r="F22" s="47" t="str">
        <f>TEXT('DATA '!$D22,"YYYY")</f>
        <v>2024</v>
      </c>
      <c r="G22" s="47" t="str">
        <f>TEXT('DATA '!$D22,"MMMM")</f>
        <v>January</v>
      </c>
      <c r="H22" s="47" t="str">
        <f>TEXT('DATA '!$B22,"DDDD")</f>
        <v>Thursday</v>
      </c>
      <c r="I22" s="5">
        <v>79.989999999999995</v>
      </c>
      <c r="J22" s="7">
        <v>2</v>
      </c>
      <c r="K22" s="50">
        <f>'DATA '!$N22/'DATA '!$J22</f>
        <v>87.989000000000004</v>
      </c>
      <c r="L22" s="50">
        <f>'DATA '!$I22*'DATA '!$J22</f>
        <v>159.97999999999999</v>
      </c>
      <c r="M22" s="5">
        <v>15.997999999999999</v>
      </c>
      <c r="N22" s="5">
        <v>175.97800000000001</v>
      </c>
      <c r="O22" s="51">
        <f>'DATA '!$M22/'DATA '!$N22</f>
        <v>9.0909090909090898E-2</v>
      </c>
      <c r="P22" s="52">
        <f>'DATA '!$I22*'DATA '!$J22</f>
        <v>159.97999999999999</v>
      </c>
      <c r="Q22" s="50">
        <f>'DATA '!$P22+'DATA '!$M22</f>
        <v>175.97799999999998</v>
      </c>
      <c r="R22" s="46">
        <f t="shared" si="0"/>
        <v>0</v>
      </c>
    </row>
    <row r="23" spans="1:18" ht="15" customHeight="1">
      <c r="A23" s="5">
        <v>1022</v>
      </c>
      <c r="B23" s="6">
        <v>45302</v>
      </c>
      <c r="C23" s="5" t="s">
        <v>82</v>
      </c>
      <c r="D23" s="6">
        <v>45306</v>
      </c>
      <c r="E23" s="48">
        <f>'DATA '!$D23-'DATA '!$B23</f>
        <v>4</v>
      </c>
      <c r="F23" s="47" t="str">
        <f>TEXT('DATA '!$D23,"YYYY")</f>
        <v>2024</v>
      </c>
      <c r="G23" s="47" t="str">
        <f>TEXT('DATA '!$D23,"MMMM")</f>
        <v>January</v>
      </c>
      <c r="H23" s="47" t="str">
        <f>TEXT('DATA '!$B23,"DDDD")</f>
        <v>Thursday</v>
      </c>
      <c r="I23" s="5">
        <v>49.99</v>
      </c>
      <c r="J23" s="7">
        <v>3</v>
      </c>
      <c r="K23" s="50">
        <f>'DATA '!$N23/'DATA '!$J23</f>
        <v>54.989000000000004</v>
      </c>
      <c r="L23" s="50">
        <f>'DATA '!$I23*'DATA '!$J23</f>
        <v>149.97</v>
      </c>
      <c r="M23" s="5">
        <v>14.997</v>
      </c>
      <c r="N23" s="5">
        <v>164.96700000000001</v>
      </c>
      <c r="O23" s="51">
        <f>'DATA '!$M23/'DATA '!$N23</f>
        <v>9.0909090909090898E-2</v>
      </c>
      <c r="P23" s="52">
        <f>'DATA '!$I23*'DATA '!$J23</f>
        <v>149.97</v>
      </c>
      <c r="Q23" s="50">
        <f>'DATA '!$P23+'DATA '!$M23</f>
        <v>164.96699999999998</v>
      </c>
      <c r="R23" s="46">
        <f t="shared" si="0"/>
        <v>0</v>
      </c>
    </row>
    <row r="24" spans="1:18" ht="15" customHeight="1">
      <c r="A24" s="5">
        <v>1023</v>
      </c>
      <c r="B24" s="6">
        <v>45303</v>
      </c>
      <c r="C24" s="5" t="s">
        <v>83</v>
      </c>
      <c r="D24" s="6">
        <v>45308</v>
      </c>
      <c r="E24" s="48">
        <f>'DATA '!$D24-'DATA '!$B24</f>
        <v>5</v>
      </c>
      <c r="F24" s="47" t="str">
        <f>TEXT('DATA '!$D24,"YYYY")</f>
        <v>2024</v>
      </c>
      <c r="G24" s="47" t="str">
        <f>TEXT('DATA '!$D24,"MMMM")</f>
        <v>January</v>
      </c>
      <c r="H24" s="47" t="str">
        <f>TEXT('DATA '!$B24,"DDDD")</f>
        <v>Friday</v>
      </c>
      <c r="I24" s="5">
        <v>129.99</v>
      </c>
      <c r="J24" s="7">
        <v>1</v>
      </c>
      <c r="K24" s="50">
        <f>'DATA '!$N24/'DATA '!$J24</f>
        <v>142.989</v>
      </c>
      <c r="L24" s="50">
        <f>'DATA '!$I24*'DATA '!$J24</f>
        <v>129.99</v>
      </c>
      <c r="M24" s="5">
        <v>12.999000000000001</v>
      </c>
      <c r="N24" s="5">
        <v>142.989</v>
      </c>
      <c r="O24" s="51">
        <f>'DATA '!$M24/'DATA '!$N24</f>
        <v>9.0909090909090912E-2</v>
      </c>
      <c r="P24" s="52">
        <f>'DATA '!$I24*'DATA '!$J24</f>
        <v>129.99</v>
      </c>
      <c r="Q24" s="50">
        <f>'DATA '!$P24+'DATA '!$M24</f>
        <v>142.989</v>
      </c>
      <c r="R24" s="46">
        <f t="shared" si="0"/>
        <v>0</v>
      </c>
    </row>
    <row r="25" spans="1:18" ht="15" customHeight="1">
      <c r="A25" s="5">
        <v>1024</v>
      </c>
      <c r="B25" s="6">
        <v>45303</v>
      </c>
      <c r="C25" s="5" t="s">
        <v>84</v>
      </c>
      <c r="D25" s="6">
        <v>45308</v>
      </c>
      <c r="E25" s="48">
        <f>'DATA '!$D25-'DATA '!$B25</f>
        <v>5</v>
      </c>
      <c r="F25" s="47" t="str">
        <f>TEXT('DATA '!$D25,"YYYY")</f>
        <v>2024</v>
      </c>
      <c r="G25" s="47" t="str">
        <f>TEXT('DATA '!$D25,"MMMM")</f>
        <v>January</v>
      </c>
      <c r="H25" s="47" t="str">
        <f>TEXT('DATA '!$B25,"DDDD")</f>
        <v>Friday</v>
      </c>
      <c r="I25" s="5">
        <v>19.989999999999998</v>
      </c>
      <c r="J25" s="7">
        <v>4</v>
      </c>
      <c r="K25" s="50">
        <f>'DATA '!$N25/'DATA '!$J25</f>
        <v>21.989000000000001</v>
      </c>
      <c r="L25" s="50">
        <f>'DATA '!$I25*'DATA '!$J25</f>
        <v>79.959999999999994</v>
      </c>
      <c r="M25" s="5">
        <v>7.9960000000000004</v>
      </c>
      <c r="N25" s="5">
        <v>87.956000000000003</v>
      </c>
      <c r="O25" s="51">
        <f>'DATA '!$M25/'DATA '!$N25</f>
        <v>9.0909090909090912E-2</v>
      </c>
      <c r="P25" s="52">
        <f>'DATA '!$I25*'DATA '!$J25</f>
        <v>79.959999999999994</v>
      </c>
      <c r="Q25" s="50">
        <f>'DATA '!$P25+'DATA '!$M25</f>
        <v>87.955999999999989</v>
      </c>
      <c r="R25" s="46">
        <f t="shared" si="0"/>
        <v>0.5</v>
      </c>
    </row>
    <row r="26" spans="1:18" ht="15" customHeight="1">
      <c r="A26" s="5">
        <v>1025</v>
      </c>
      <c r="B26" s="6">
        <v>45304</v>
      </c>
      <c r="C26" s="5" t="s">
        <v>65</v>
      </c>
      <c r="D26" s="6">
        <v>45308</v>
      </c>
      <c r="E26" s="48">
        <f>'DATA '!$D26-'DATA '!$B26</f>
        <v>4</v>
      </c>
      <c r="F26" s="47" t="str">
        <f>TEXT('DATA '!$D26,"YYYY")</f>
        <v>2024</v>
      </c>
      <c r="G26" s="47" t="str">
        <f>TEXT('DATA '!$D26,"MMMM")</f>
        <v>January</v>
      </c>
      <c r="H26" s="47" t="str">
        <f>TEXT('DATA '!$B26,"DDDD")</f>
        <v>Saturday</v>
      </c>
      <c r="I26" s="5">
        <v>149.99</v>
      </c>
      <c r="J26" s="7">
        <v>1</v>
      </c>
      <c r="K26" s="50">
        <f>'DATA '!$N26/'DATA '!$J26</f>
        <v>164.989</v>
      </c>
      <c r="L26" s="50">
        <f>'DATA '!$I26*'DATA '!$J26</f>
        <v>149.99</v>
      </c>
      <c r="M26" s="5">
        <v>14.999000000000001</v>
      </c>
      <c r="N26" s="5">
        <v>164.989</v>
      </c>
      <c r="O26" s="51">
        <f>'DATA '!$M26/'DATA '!$N26</f>
        <v>9.0909090909090912E-2</v>
      </c>
      <c r="P26" s="52">
        <f>'DATA '!$I26*'DATA '!$J26</f>
        <v>149.99</v>
      </c>
      <c r="Q26" s="50">
        <f>'DATA '!$P26+'DATA '!$M26</f>
        <v>164.989</v>
      </c>
      <c r="R26" s="46">
        <f t="shared" si="0"/>
        <v>0.66666666666666663</v>
      </c>
    </row>
    <row r="27" spans="1:18" ht="15" customHeight="1">
      <c r="A27" s="5">
        <v>1026</v>
      </c>
      <c r="B27" s="6">
        <v>45304</v>
      </c>
      <c r="C27" s="5" t="s">
        <v>85</v>
      </c>
      <c r="D27" s="6">
        <v>45305</v>
      </c>
      <c r="E27" s="48">
        <f>'DATA '!$D27-'DATA '!$B27</f>
        <v>1</v>
      </c>
      <c r="F27" s="47" t="str">
        <f>TEXT('DATA '!$D27,"YYYY")</f>
        <v>2024</v>
      </c>
      <c r="G27" s="47" t="str">
        <f>TEXT('DATA '!$D27,"MMMM")</f>
        <v>January</v>
      </c>
      <c r="H27" s="47" t="str">
        <f>TEXT('DATA '!$B27,"DDDD")</f>
        <v>Saturday</v>
      </c>
      <c r="I27" s="5">
        <v>69.989999999999995</v>
      </c>
      <c r="J27" s="7">
        <v>2</v>
      </c>
      <c r="K27" s="50">
        <f>'DATA '!$N27/'DATA '!$J27</f>
        <v>76.989000000000004</v>
      </c>
      <c r="L27" s="50">
        <f>'DATA '!$I27*'DATA '!$J27</f>
        <v>139.97999999999999</v>
      </c>
      <c r="M27" s="5">
        <v>13.997999999999999</v>
      </c>
      <c r="N27" s="5">
        <v>153.97800000000001</v>
      </c>
      <c r="O27" s="51">
        <f>'DATA '!$M27/'DATA '!$N27</f>
        <v>9.0909090909090898E-2</v>
      </c>
      <c r="P27" s="52">
        <f>'DATA '!$I27*'DATA '!$J27</f>
        <v>139.97999999999999</v>
      </c>
      <c r="Q27" s="50">
        <f>'DATA '!$P27+'DATA '!$M27</f>
        <v>153.97799999999998</v>
      </c>
      <c r="R27" s="46">
        <f t="shared" si="0"/>
        <v>0</v>
      </c>
    </row>
    <row r="28" spans="1:18" ht="15" customHeight="1">
      <c r="A28" s="5">
        <v>1027</v>
      </c>
      <c r="B28" s="6">
        <v>45305</v>
      </c>
      <c r="C28" s="5" t="s">
        <v>86</v>
      </c>
      <c r="D28" s="6">
        <v>45309</v>
      </c>
      <c r="E28" s="48">
        <f>'DATA '!$D28-'DATA '!$B28</f>
        <v>4</v>
      </c>
      <c r="F28" s="47" t="str">
        <f>TEXT('DATA '!$D28,"YYYY")</f>
        <v>2024</v>
      </c>
      <c r="G28" s="47" t="str">
        <f>TEXT('DATA '!$D28,"MMMM")</f>
        <v>January</v>
      </c>
      <c r="H28" s="47" t="str">
        <f>TEXT('DATA '!$B28,"DDDD")</f>
        <v>Sunday</v>
      </c>
      <c r="I28" s="5">
        <v>39.99</v>
      </c>
      <c r="J28" s="7">
        <v>3</v>
      </c>
      <c r="K28" s="50">
        <f>'DATA '!$N28/'DATA '!$J28</f>
        <v>43.989000000000004</v>
      </c>
      <c r="L28" s="50">
        <f>'DATA '!$I28*'DATA '!$J28</f>
        <v>119.97</v>
      </c>
      <c r="M28" s="5">
        <v>11.997</v>
      </c>
      <c r="N28" s="5">
        <v>131.96700000000001</v>
      </c>
      <c r="O28" s="51">
        <f>'DATA '!$M28/'DATA '!$N28</f>
        <v>9.0909090909090898E-2</v>
      </c>
      <c r="P28" s="52">
        <f>'DATA '!$I28*'DATA '!$J28</f>
        <v>119.97</v>
      </c>
      <c r="Q28" s="50">
        <f>'DATA '!$P28+'DATA '!$M28</f>
        <v>131.96699999999998</v>
      </c>
      <c r="R28" s="46">
        <f t="shared" si="0"/>
        <v>0</v>
      </c>
    </row>
    <row r="29" spans="1:18" ht="15" customHeight="1">
      <c r="A29" s="5">
        <v>1028</v>
      </c>
      <c r="B29" s="6">
        <v>45305</v>
      </c>
      <c r="C29" s="5" t="s">
        <v>87</v>
      </c>
      <c r="D29" s="6">
        <v>45310</v>
      </c>
      <c r="E29" s="48">
        <f>'DATA '!$D29-'DATA '!$B29</f>
        <v>5</v>
      </c>
      <c r="F29" s="47" t="str">
        <f>TEXT('DATA '!$D29,"YYYY")</f>
        <v>2024</v>
      </c>
      <c r="G29" s="47" t="str">
        <f>TEXT('DATA '!$D29,"MMMM")</f>
        <v>January</v>
      </c>
      <c r="H29" s="47" t="str">
        <f>TEXT('DATA '!$B29,"DDDD")</f>
        <v>Sunday</v>
      </c>
      <c r="I29" s="5">
        <v>199.99</v>
      </c>
      <c r="J29" s="7">
        <v>1</v>
      </c>
      <c r="K29" s="50">
        <f>'DATA '!$N29/'DATA '!$J29</f>
        <v>219.989</v>
      </c>
      <c r="L29" s="50">
        <f>'DATA '!$I29*'DATA '!$J29</f>
        <v>199.99</v>
      </c>
      <c r="M29" s="5">
        <v>19.998999999999999</v>
      </c>
      <c r="N29" s="5">
        <v>219.989</v>
      </c>
      <c r="O29" s="51">
        <f>'DATA '!$M29/'DATA '!$N29</f>
        <v>9.0909090909090898E-2</v>
      </c>
      <c r="P29" s="52">
        <f>'DATA '!$I29*'DATA '!$J29</f>
        <v>199.99</v>
      </c>
      <c r="Q29" s="50">
        <f>'DATA '!$P29+'DATA '!$M29</f>
        <v>219.989</v>
      </c>
      <c r="R29" s="46">
        <f t="shared" si="0"/>
        <v>0</v>
      </c>
    </row>
    <row r="30" spans="1:18" ht="15" customHeight="1">
      <c r="A30" s="5">
        <v>1029</v>
      </c>
      <c r="B30" s="6">
        <v>45306</v>
      </c>
      <c r="C30" s="5" t="s">
        <v>88</v>
      </c>
      <c r="D30" s="6">
        <v>45310</v>
      </c>
      <c r="E30" s="48">
        <f>'DATA '!$D30-'DATA '!$B30</f>
        <v>4</v>
      </c>
      <c r="F30" s="47" t="str">
        <f>TEXT('DATA '!$D30,"YYYY")</f>
        <v>2024</v>
      </c>
      <c r="G30" s="47" t="str">
        <f>TEXT('DATA '!$D30,"MMMM")</f>
        <v>January</v>
      </c>
      <c r="H30" s="47" t="str">
        <f>TEXT('DATA '!$B30,"DDDD")</f>
        <v>Monday</v>
      </c>
      <c r="I30" s="5">
        <v>29.99</v>
      </c>
      <c r="J30" s="7">
        <v>5</v>
      </c>
      <c r="K30" s="50">
        <f>'DATA '!$N30/'DATA '!$J30</f>
        <v>32.988999999999997</v>
      </c>
      <c r="L30" s="50">
        <f>'DATA '!$I30*'DATA '!$J30</f>
        <v>149.94999999999999</v>
      </c>
      <c r="M30" s="5">
        <v>14.994999999999999</v>
      </c>
      <c r="N30" s="5">
        <v>164.94499999999999</v>
      </c>
      <c r="O30" s="51">
        <f>'DATA '!$M30/'DATA '!$N30</f>
        <v>9.0909090909090912E-2</v>
      </c>
      <c r="P30" s="52">
        <f>'DATA '!$I30*'DATA '!$J30</f>
        <v>149.94999999999999</v>
      </c>
      <c r="Q30" s="50">
        <f>'DATA '!$P30+'DATA '!$M30</f>
        <v>164.94499999999999</v>
      </c>
      <c r="R30" s="46">
        <f t="shared" si="0"/>
        <v>0</v>
      </c>
    </row>
    <row r="31" spans="1:18" ht="15" customHeight="1">
      <c r="A31" s="5">
        <v>1030</v>
      </c>
      <c r="B31" s="6">
        <v>45306</v>
      </c>
      <c r="C31" s="5" t="s">
        <v>89</v>
      </c>
      <c r="D31" s="6">
        <v>45310</v>
      </c>
      <c r="E31" s="48">
        <f>'DATA '!$D31-'DATA '!$B31</f>
        <v>4</v>
      </c>
      <c r="F31" s="47" t="str">
        <f>TEXT('DATA '!$D31,"YYYY")</f>
        <v>2024</v>
      </c>
      <c r="G31" s="47" t="str">
        <f>TEXT('DATA '!$D31,"MMMM")</f>
        <v>January</v>
      </c>
      <c r="H31" s="47" t="str">
        <f>TEXT('DATA '!$B31,"DDDD")</f>
        <v>Monday</v>
      </c>
      <c r="I31" s="5">
        <v>79.989999999999995</v>
      </c>
      <c r="J31" s="7">
        <v>2</v>
      </c>
      <c r="K31" s="50">
        <f>'DATA '!$N31/'DATA '!$J31</f>
        <v>87.989000000000004</v>
      </c>
      <c r="L31" s="50">
        <f>'DATA '!$I31*'DATA '!$J31</f>
        <v>159.97999999999999</v>
      </c>
      <c r="M31" s="5">
        <v>15.997999999999999</v>
      </c>
      <c r="N31" s="5">
        <v>175.97800000000001</v>
      </c>
      <c r="O31" s="51">
        <f>'DATA '!$M31/'DATA '!$N31</f>
        <v>9.0909090909090898E-2</v>
      </c>
      <c r="P31" s="52">
        <f>'DATA '!$I31*'DATA '!$J31</f>
        <v>159.97999999999999</v>
      </c>
      <c r="Q31" s="50">
        <f>'DATA '!$P31+'DATA '!$M31</f>
        <v>175.97799999999998</v>
      </c>
      <c r="R31" s="46">
        <f t="shared" si="0"/>
        <v>0</v>
      </c>
    </row>
    <row r="32" spans="1:18" ht="15" customHeight="1">
      <c r="A32" s="5">
        <v>1031</v>
      </c>
      <c r="B32" s="6">
        <v>45307</v>
      </c>
      <c r="C32" s="5" t="s">
        <v>90</v>
      </c>
      <c r="D32" s="6">
        <v>45310</v>
      </c>
      <c r="E32" s="48">
        <f>'DATA '!$D32-'DATA '!$B32</f>
        <v>3</v>
      </c>
      <c r="F32" s="47" t="str">
        <f>TEXT('DATA '!$D32,"YYYY")</f>
        <v>2024</v>
      </c>
      <c r="G32" s="47" t="str">
        <f>TEXT('DATA '!$D32,"MMMM")</f>
        <v>January</v>
      </c>
      <c r="H32" s="47" t="str">
        <f>TEXT('DATA '!$B32,"DDDD")</f>
        <v>Tuesday</v>
      </c>
      <c r="I32" s="5">
        <v>49.99</v>
      </c>
      <c r="J32" s="7">
        <v>3</v>
      </c>
      <c r="K32" s="50">
        <f>'DATA '!$N32/'DATA '!$J32</f>
        <v>54.989000000000004</v>
      </c>
      <c r="L32" s="50">
        <f>'DATA '!$I32*'DATA '!$J32</f>
        <v>149.97</v>
      </c>
      <c r="M32" s="5">
        <v>14.997</v>
      </c>
      <c r="N32" s="5">
        <v>164.96700000000001</v>
      </c>
      <c r="O32" s="51">
        <f>'DATA '!$M32/'DATA '!$N32</f>
        <v>9.0909090909090898E-2</v>
      </c>
      <c r="P32" s="52">
        <f>'DATA '!$I32*'DATA '!$J32</f>
        <v>149.97</v>
      </c>
      <c r="Q32" s="50">
        <f>'DATA '!$P32+'DATA '!$M32</f>
        <v>164.96699999999998</v>
      </c>
      <c r="R32" s="46">
        <f t="shared" si="0"/>
        <v>0</v>
      </c>
    </row>
    <row r="33" spans="1:18" ht="15" customHeight="1">
      <c r="A33" s="5">
        <v>1032</v>
      </c>
      <c r="B33" s="6">
        <v>45307</v>
      </c>
      <c r="C33" s="5" t="s">
        <v>91</v>
      </c>
      <c r="D33" s="6">
        <v>45308</v>
      </c>
      <c r="E33" s="48">
        <f>'DATA '!$D33-'DATA '!$B33</f>
        <v>1</v>
      </c>
      <c r="F33" s="47" t="str">
        <f>TEXT('DATA '!$D33,"YYYY")</f>
        <v>2024</v>
      </c>
      <c r="G33" s="47" t="str">
        <f>TEXT('DATA '!$D33,"MMMM")</f>
        <v>January</v>
      </c>
      <c r="H33" s="47" t="str">
        <f>TEXT('DATA '!$B33,"DDDD")</f>
        <v>Tuesday</v>
      </c>
      <c r="I33" s="5">
        <v>129.99</v>
      </c>
      <c r="J33" s="7">
        <v>1</v>
      </c>
      <c r="K33" s="50">
        <f>'DATA '!$N33/'DATA '!$J33</f>
        <v>142.989</v>
      </c>
      <c r="L33" s="50">
        <f>'DATA '!$I33*'DATA '!$J33</f>
        <v>129.99</v>
      </c>
      <c r="M33" s="5">
        <v>12.999000000000001</v>
      </c>
      <c r="N33" s="5">
        <v>142.989</v>
      </c>
      <c r="O33" s="51">
        <f>'DATA '!$M33/'DATA '!$N33</f>
        <v>9.0909090909090912E-2</v>
      </c>
      <c r="P33" s="52">
        <f>'DATA '!$I33*'DATA '!$J33</f>
        <v>129.99</v>
      </c>
      <c r="Q33" s="50">
        <f>'DATA '!$P33+'DATA '!$M33</f>
        <v>142.989</v>
      </c>
      <c r="R33" s="46">
        <f t="shared" si="0"/>
        <v>0</v>
      </c>
    </row>
    <row r="34" spans="1:18" ht="15" customHeight="1">
      <c r="A34" s="5">
        <v>1033</v>
      </c>
      <c r="B34" s="6">
        <v>45308</v>
      </c>
      <c r="C34" s="5" t="s">
        <v>92</v>
      </c>
      <c r="D34" s="6">
        <v>45310</v>
      </c>
      <c r="E34" s="48">
        <f>'DATA '!$D34-'DATA '!$B34</f>
        <v>2</v>
      </c>
      <c r="F34" s="47" t="str">
        <f>TEXT('DATA '!$D34,"YYYY")</f>
        <v>2024</v>
      </c>
      <c r="G34" s="47" t="str">
        <f>TEXT('DATA '!$D34,"MMMM")</f>
        <v>January</v>
      </c>
      <c r="H34" s="47" t="str">
        <f>TEXT('DATA '!$B34,"DDDD")</f>
        <v>Wednesday</v>
      </c>
      <c r="I34" s="5">
        <v>19.989999999999998</v>
      </c>
      <c r="J34" s="7">
        <v>4</v>
      </c>
      <c r="K34" s="50">
        <f>'DATA '!$N34/'DATA '!$J34</f>
        <v>21.989000000000001</v>
      </c>
      <c r="L34" s="50">
        <f>'DATA '!$I34*'DATA '!$J34</f>
        <v>79.959999999999994</v>
      </c>
      <c r="M34" s="5">
        <v>7.9960000000000004</v>
      </c>
      <c r="N34" s="5">
        <v>87.956000000000003</v>
      </c>
      <c r="O34" s="51">
        <f>'DATA '!$M34/'DATA '!$N34</f>
        <v>9.0909090909090912E-2</v>
      </c>
      <c r="P34" s="52">
        <f>'DATA '!$I34*'DATA '!$J34</f>
        <v>79.959999999999994</v>
      </c>
      <c r="Q34" s="50">
        <f>'DATA '!$P34+'DATA '!$M34</f>
        <v>87.955999999999989</v>
      </c>
      <c r="R34" s="46">
        <f t="shared" si="0"/>
        <v>0</v>
      </c>
    </row>
    <row r="35" spans="1:18" ht="15" customHeight="1">
      <c r="A35" s="5">
        <v>1034</v>
      </c>
      <c r="B35" s="6">
        <v>45308</v>
      </c>
      <c r="C35" s="5" t="s">
        <v>93</v>
      </c>
      <c r="D35" s="6">
        <v>45310</v>
      </c>
      <c r="E35" s="48">
        <f>'DATA '!$D35-'DATA '!$B35</f>
        <v>2</v>
      </c>
      <c r="F35" s="47" t="str">
        <f>TEXT('DATA '!$D35,"YYYY")</f>
        <v>2024</v>
      </c>
      <c r="G35" s="47" t="str">
        <f>TEXT('DATA '!$D35,"MMMM")</f>
        <v>January</v>
      </c>
      <c r="H35" s="47" t="str">
        <f>TEXT('DATA '!$B35,"DDDD")</f>
        <v>Wednesday</v>
      </c>
      <c r="I35" s="5">
        <v>149.99</v>
      </c>
      <c r="J35" s="7">
        <v>1</v>
      </c>
      <c r="K35" s="50">
        <f>'DATA '!$N35/'DATA '!$J35</f>
        <v>164.989</v>
      </c>
      <c r="L35" s="50">
        <f>'DATA '!$I35*'DATA '!$J35</f>
        <v>149.99</v>
      </c>
      <c r="M35" s="5">
        <v>14.999000000000001</v>
      </c>
      <c r="N35" s="5">
        <v>164.989</v>
      </c>
      <c r="O35" s="51">
        <f>'DATA '!$M35/'DATA '!$N35</f>
        <v>9.0909090909090912E-2</v>
      </c>
      <c r="P35" s="52">
        <f>'DATA '!$I35*'DATA '!$J35</f>
        <v>149.99</v>
      </c>
      <c r="Q35" s="50">
        <f>'DATA '!$P35+'DATA '!$M35</f>
        <v>164.989</v>
      </c>
      <c r="R35" s="46">
        <f t="shared" si="0"/>
        <v>0</v>
      </c>
    </row>
    <row r="36" spans="1:18" ht="15" customHeight="1">
      <c r="A36" s="5">
        <v>1035</v>
      </c>
      <c r="B36" s="6">
        <v>45309</v>
      </c>
      <c r="C36" s="5" t="s">
        <v>94</v>
      </c>
      <c r="D36" s="6">
        <v>45314</v>
      </c>
      <c r="E36" s="48">
        <f>'DATA '!$D36-'DATA '!$B36</f>
        <v>5</v>
      </c>
      <c r="F36" s="47" t="str">
        <f>TEXT('DATA '!$D36,"YYYY")</f>
        <v>2024</v>
      </c>
      <c r="G36" s="47" t="str">
        <f>TEXT('DATA '!$D36,"MMMM")</f>
        <v>January</v>
      </c>
      <c r="H36" s="47" t="str">
        <f>TEXT('DATA '!$B36,"DDDD")</f>
        <v>Thursday</v>
      </c>
      <c r="I36" s="5">
        <v>69.989999999999995</v>
      </c>
      <c r="J36" s="7">
        <v>2</v>
      </c>
      <c r="K36" s="50">
        <f>'DATA '!$N36/'DATA '!$J36</f>
        <v>76.989000000000004</v>
      </c>
      <c r="L36" s="50">
        <f>'DATA '!$I36*'DATA '!$J36</f>
        <v>139.97999999999999</v>
      </c>
      <c r="M36" s="5">
        <v>13.997999999999999</v>
      </c>
      <c r="N36" s="5">
        <v>153.97800000000001</v>
      </c>
      <c r="O36" s="51">
        <f>'DATA '!$M36/'DATA '!$N36</f>
        <v>9.0909090909090898E-2</v>
      </c>
      <c r="P36" s="52">
        <f>'DATA '!$I36*'DATA '!$J36</f>
        <v>139.97999999999999</v>
      </c>
      <c r="Q36" s="50">
        <f>'DATA '!$P36+'DATA '!$M36</f>
        <v>153.97799999999998</v>
      </c>
      <c r="R36" s="46">
        <f t="shared" si="0"/>
        <v>0</v>
      </c>
    </row>
    <row r="37" spans="1:18" ht="15" customHeight="1">
      <c r="A37" s="5">
        <v>1036</v>
      </c>
      <c r="B37" s="6">
        <v>45309</v>
      </c>
      <c r="C37" s="5" t="s">
        <v>95</v>
      </c>
      <c r="D37" s="6">
        <v>45310</v>
      </c>
      <c r="E37" s="48">
        <f>'DATA '!$D37-'DATA '!$B37</f>
        <v>1</v>
      </c>
      <c r="F37" s="47" t="str">
        <f>TEXT('DATA '!$D37,"YYYY")</f>
        <v>2024</v>
      </c>
      <c r="G37" s="47" t="str">
        <f>TEXT('DATA '!$D37,"MMMM")</f>
        <v>January</v>
      </c>
      <c r="H37" s="47" t="str">
        <f>TEXT('DATA '!$B37,"DDDD")</f>
        <v>Thursday</v>
      </c>
      <c r="I37" s="5">
        <v>39.99</v>
      </c>
      <c r="J37" s="7">
        <v>3</v>
      </c>
      <c r="K37" s="50">
        <f>'DATA '!$N37/'DATA '!$J37</f>
        <v>43.989000000000004</v>
      </c>
      <c r="L37" s="50">
        <f>'DATA '!$I37*'DATA '!$J37</f>
        <v>119.97</v>
      </c>
      <c r="M37" s="5">
        <v>11.997</v>
      </c>
      <c r="N37" s="5">
        <v>131.96700000000001</v>
      </c>
      <c r="O37" s="51">
        <f>'DATA '!$M37/'DATA '!$N37</f>
        <v>9.0909090909090898E-2</v>
      </c>
      <c r="P37" s="52">
        <f>'DATA '!$I37*'DATA '!$J37</f>
        <v>119.97</v>
      </c>
      <c r="Q37" s="50">
        <f>'DATA '!$P37+'DATA '!$M37</f>
        <v>131.96699999999998</v>
      </c>
      <c r="R37" s="46">
        <f t="shared" si="0"/>
        <v>0</v>
      </c>
    </row>
    <row r="38" spans="1:18" ht="15" customHeight="1">
      <c r="A38" s="5">
        <v>1037</v>
      </c>
      <c r="B38" s="6">
        <v>45310</v>
      </c>
      <c r="C38" s="5" t="s">
        <v>96</v>
      </c>
      <c r="D38" s="6">
        <v>45311</v>
      </c>
      <c r="E38" s="48">
        <f>'DATA '!$D38-'DATA '!$B38</f>
        <v>1</v>
      </c>
      <c r="F38" s="47" t="str">
        <f>TEXT('DATA '!$D38,"YYYY")</f>
        <v>2024</v>
      </c>
      <c r="G38" s="47" t="str">
        <f>TEXT('DATA '!$D38,"MMMM")</f>
        <v>January</v>
      </c>
      <c r="H38" s="47" t="str">
        <f>TEXT('DATA '!$B38,"DDDD")</f>
        <v>Friday</v>
      </c>
      <c r="I38" s="5">
        <v>199.99</v>
      </c>
      <c r="J38" s="7">
        <v>1</v>
      </c>
      <c r="K38" s="50">
        <f>'DATA '!$N38/'DATA '!$J38</f>
        <v>219.989</v>
      </c>
      <c r="L38" s="50">
        <f>'DATA '!$I38*'DATA '!$J38</f>
        <v>199.99</v>
      </c>
      <c r="M38" s="5">
        <v>19.998999999999999</v>
      </c>
      <c r="N38" s="5">
        <v>219.989</v>
      </c>
      <c r="O38" s="51">
        <f>'DATA '!$M38/'DATA '!$N38</f>
        <v>9.0909090909090898E-2</v>
      </c>
      <c r="P38" s="52">
        <f>'DATA '!$I38*'DATA '!$J38</f>
        <v>199.99</v>
      </c>
      <c r="Q38" s="50">
        <f>'DATA '!$P38+'DATA '!$M38</f>
        <v>219.989</v>
      </c>
      <c r="R38" s="46">
        <f t="shared" si="0"/>
        <v>0</v>
      </c>
    </row>
    <row r="39" spans="1:18" ht="15" customHeight="1">
      <c r="A39" s="5">
        <v>1038</v>
      </c>
      <c r="B39" s="6">
        <v>45310</v>
      </c>
      <c r="C39" s="5" t="s">
        <v>97</v>
      </c>
      <c r="D39" s="6">
        <v>45313</v>
      </c>
      <c r="E39" s="48">
        <f>'DATA '!$D39-'DATA '!$B39</f>
        <v>3</v>
      </c>
      <c r="F39" s="47" t="str">
        <f>TEXT('DATA '!$D39,"YYYY")</f>
        <v>2024</v>
      </c>
      <c r="G39" s="47" t="str">
        <f>TEXT('DATA '!$D39,"MMMM")</f>
        <v>January</v>
      </c>
      <c r="H39" s="47" t="str">
        <f>TEXT('DATA '!$B39,"DDDD")</f>
        <v>Friday</v>
      </c>
      <c r="I39" s="5">
        <v>29.99</v>
      </c>
      <c r="J39" s="7">
        <v>5</v>
      </c>
      <c r="K39" s="50">
        <f>'DATA '!$N39/'DATA '!$J39</f>
        <v>32.988999999999997</v>
      </c>
      <c r="L39" s="50">
        <f>'DATA '!$I39*'DATA '!$J39</f>
        <v>149.94999999999999</v>
      </c>
      <c r="M39" s="5">
        <v>14.994999999999999</v>
      </c>
      <c r="N39" s="5">
        <v>164.94499999999999</v>
      </c>
      <c r="O39" s="51">
        <f>'DATA '!$M39/'DATA '!$N39</f>
        <v>9.0909090909090912E-2</v>
      </c>
      <c r="P39" s="52">
        <f>'DATA '!$I39*'DATA '!$J39</f>
        <v>149.94999999999999</v>
      </c>
      <c r="Q39" s="50">
        <f>'DATA '!$P39+'DATA '!$M39</f>
        <v>164.94499999999999</v>
      </c>
      <c r="R39" s="46">
        <f t="shared" si="0"/>
        <v>0</v>
      </c>
    </row>
    <row r="40" spans="1:18" ht="15" customHeight="1">
      <c r="A40" s="5">
        <v>1039</v>
      </c>
      <c r="B40" s="6">
        <v>45311</v>
      </c>
      <c r="C40" s="5" t="s">
        <v>63</v>
      </c>
      <c r="D40" s="6">
        <v>45315</v>
      </c>
      <c r="E40" s="48">
        <f>'DATA '!$D40-'DATA '!$B40</f>
        <v>4</v>
      </c>
      <c r="F40" s="47" t="str">
        <f>TEXT('DATA '!$D40,"YYYY")</f>
        <v>2024</v>
      </c>
      <c r="G40" s="47" t="str">
        <f>TEXT('DATA '!$D40,"MMMM")</f>
        <v>January</v>
      </c>
      <c r="H40" s="47" t="str">
        <f>TEXT('DATA '!$B40,"DDDD")</f>
        <v>Saturday</v>
      </c>
      <c r="I40" s="5">
        <v>79.989999999999995</v>
      </c>
      <c r="J40" s="7">
        <v>2</v>
      </c>
      <c r="K40" s="50">
        <f>'DATA '!$N40/'DATA '!$J40</f>
        <v>87.989000000000004</v>
      </c>
      <c r="L40" s="50">
        <f>'DATA '!$I40*'DATA '!$J40</f>
        <v>159.97999999999999</v>
      </c>
      <c r="M40" s="5">
        <v>15.997999999999999</v>
      </c>
      <c r="N40" s="5">
        <v>175.97800000000001</v>
      </c>
      <c r="O40" s="51">
        <f>'DATA '!$M40/'DATA '!$N40</f>
        <v>9.0909090909090898E-2</v>
      </c>
      <c r="P40" s="52">
        <f>'DATA '!$I40*'DATA '!$J40</f>
        <v>159.97999999999999</v>
      </c>
      <c r="Q40" s="50">
        <f>'DATA '!$P40+'DATA '!$M40</f>
        <v>175.97799999999998</v>
      </c>
      <c r="R40" s="46">
        <f t="shared" si="0"/>
        <v>0.5</v>
      </c>
    </row>
    <row r="41" spans="1:18" ht="15" customHeight="1">
      <c r="A41" s="5">
        <v>1040</v>
      </c>
      <c r="B41" s="6">
        <v>45311</v>
      </c>
      <c r="C41" s="5" t="s">
        <v>84</v>
      </c>
      <c r="D41" s="6">
        <v>45312</v>
      </c>
      <c r="E41" s="48">
        <f>'DATA '!$D41-'DATA '!$B41</f>
        <v>1</v>
      </c>
      <c r="F41" s="47" t="str">
        <f>TEXT('DATA '!$D41,"YYYY")</f>
        <v>2024</v>
      </c>
      <c r="G41" s="47" t="str">
        <f>TEXT('DATA '!$D41,"MMMM")</f>
        <v>January</v>
      </c>
      <c r="H41" s="47" t="str">
        <f>TEXT('DATA '!$B41,"DDDD")</f>
        <v>Saturday</v>
      </c>
      <c r="I41" s="5">
        <v>49.99</v>
      </c>
      <c r="J41" s="7">
        <v>3</v>
      </c>
      <c r="K41" s="50">
        <f>'DATA '!$N41/'DATA '!$J41</f>
        <v>54.989000000000004</v>
      </c>
      <c r="L41" s="50">
        <f>'DATA '!$I41*'DATA '!$J41</f>
        <v>149.97</v>
      </c>
      <c r="M41" s="5">
        <v>14.997</v>
      </c>
      <c r="N41" s="5">
        <v>164.96700000000001</v>
      </c>
      <c r="O41" s="51">
        <f>'DATA '!$M41/'DATA '!$N41</f>
        <v>9.0909090909090898E-2</v>
      </c>
      <c r="P41" s="52">
        <f>'DATA '!$I41*'DATA '!$J41</f>
        <v>149.97</v>
      </c>
      <c r="Q41" s="50">
        <f>'DATA '!$P41+'DATA '!$M41</f>
        <v>164.96699999999998</v>
      </c>
      <c r="R41" s="46">
        <f t="shared" si="0"/>
        <v>0.5</v>
      </c>
    </row>
    <row r="42" spans="1:18" ht="15" customHeight="1">
      <c r="A42" s="5">
        <v>1041</v>
      </c>
      <c r="B42" s="6">
        <v>45312</v>
      </c>
      <c r="C42" s="5" t="s">
        <v>65</v>
      </c>
      <c r="D42" s="6">
        <v>45317</v>
      </c>
      <c r="E42" s="48">
        <f>'DATA '!$D42-'DATA '!$B42</f>
        <v>5</v>
      </c>
      <c r="F42" s="47" t="str">
        <f>TEXT('DATA '!$D42,"YYYY")</f>
        <v>2024</v>
      </c>
      <c r="G42" s="47" t="str">
        <f>TEXT('DATA '!$D42,"MMMM")</f>
        <v>January</v>
      </c>
      <c r="H42" s="47" t="str">
        <f>TEXT('DATA '!$B42,"DDDD")</f>
        <v>Sunday</v>
      </c>
      <c r="I42" s="5">
        <v>129.99</v>
      </c>
      <c r="J42" s="7">
        <v>1</v>
      </c>
      <c r="K42" s="50">
        <f>'DATA '!$N42/'DATA '!$J42</f>
        <v>142.989</v>
      </c>
      <c r="L42" s="50">
        <f>'DATA '!$I42*'DATA '!$J42</f>
        <v>129.99</v>
      </c>
      <c r="M42" s="5">
        <v>12.999000000000001</v>
      </c>
      <c r="N42" s="5">
        <v>142.989</v>
      </c>
      <c r="O42" s="51">
        <f>'DATA '!$M42/'DATA '!$N42</f>
        <v>9.0909090909090912E-2</v>
      </c>
      <c r="P42" s="52">
        <f>'DATA '!$I42*'DATA '!$J42</f>
        <v>129.99</v>
      </c>
      <c r="Q42" s="50">
        <f>'DATA '!$P42+'DATA '!$M42</f>
        <v>142.989</v>
      </c>
      <c r="R42" s="46">
        <f t="shared" si="0"/>
        <v>0.66666666666666663</v>
      </c>
    </row>
    <row r="43" spans="1:18" ht="15" customHeight="1">
      <c r="A43" s="5">
        <v>1042</v>
      </c>
      <c r="B43" s="6">
        <v>45312</v>
      </c>
      <c r="C43" s="5" t="s">
        <v>98</v>
      </c>
      <c r="D43" s="6">
        <v>45314</v>
      </c>
      <c r="E43" s="48">
        <f>'DATA '!$D43-'DATA '!$B43</f>
        <v>2</v>
      </c>
      <c r="F43" s="47" t="str">
        <f>TEXT('DATA '!$D43,"YYYY")</f>
        <v>2024</v>
      </c>
      <c r="G43" s="47" t="str">
        <f>TEXT('DATA '!$D43,"MMMM")</f>
        <v>January</v>
      </c>
      <c r="H43" s="47" t="str">
        <f>TEXT('DATA '!$B43,"DDDD")</f>
        <v>Sunday</v>
      </c>
      <c r="I43" s="5">
        <v>19.989999999999998</v>
      </c>
      <c r="J43" s="7">
        <v>4</v>
      </c>
      <c r="K43" s="50">
        <f>'DATA '!$N43/'DATA '!$J43</f>
        <v>21.989000000000001</v>
      </c>
      <c r="L43" s="50">
        <f>'DATA '!$I43*'DATA '!$J43</f>
        <v>79.959999999999994</v>
      </c>
      <c r="M43" s="5">
        <v>7.9960000000000004</v>
      </c>
      <c r="N43" s="5">
        <v>87.956000000000003</v>
      </c>
      <c r="O43" s="51">
        <f>'DATA '!$M43/'DATA '!$N43</f>
        <v>9.0909090909090912E-2</v>
      </c>
      <c r="P43" s="52">
        <f>'DATA '!$I43*'DATA '!$J43</f>
        <v>79.959999999999994</v>
      </c>
      <c r="Q43" s="50">
        <f>'DATA '!$P43+'DATA '!$M43</f>
        <v>87.955999999999989</v>
      </c>
      <c r="R43" s="46">
        <f t="shared" si="0"/>
        <v>0.5</v>
      </c>
    </row>
    <row r="44" spans="1:18" ht="15" customHeight="1">
      <c r="A44" s="5">
        <v>1043</v>
      </c>
      <c r="B44" s="6">
        <v>45313</v>
      </c>
      <c r="C44" s="5" t="s">
        <v>99</v>
      </c>
      <c r="D44" s="6">
        <v>45316</v>
      </c>
      <c r="E44" s="48">
        <f>'DATA '!$D44-'DATA '!$B44</f>
        <v>3</v>
      </c>
      <c r="F44" s="47" t="str">
        <f>TEXT('DATA '!$D44,"YYYY")</f>
        <v>2024</v>
      </c>
      <c r="G44" s="47" t="str">
        <f>TEXT('DATA '!$D44,"MMMM")</f>
        <v>January</v>
      </c>
      <c r="H44" s="47" t="str">
        <f>TEXT('DATA '!$B44,"DDDD")</f>
        <v>Monday</v>
      </c>
      <c r="I44" s="5">
        <v>149.99</v>
      </c>
      <c r="J44" s="7">
        <v>1</v>
      </c>
      <c r="K44" s="50">
        <f>'DATA '!$N44/'DATA '!$J44</f>
        <v>164.989</v>
      </c>
      <c r="L44" s="50">
        <f>'DATA '!$I44*'DATA '!$J44</f>
        <v>149.99</v>
      </c>
      <c r="M44" s="5">
        <v>14.999000000000001</v>
      </c>
      <c r="N44" s="5">
        <v>164.989</v>
      </c>
      <c r="O44" s="51">
        <f>'DATA '!$M44/'DATA '!$N44</f>
        <v>9.0909090909090912E-2</v>
      </c>
      <c r="P44" s="52">
        <f>'DATA '!$I44*'DATA '!$J44</f>
        <v>149.99</v>
      </c>
      <c r="Q44" s="50">
        <f>'DATA '!$P44+'DATA '!$M44</f>
        <v>164.989</v>
      </c>
      <c r="R44" s="46">
        <f t="shared" si="0"/>
        <v>0.5</v>
      </c>
    </row>
    <row r="45" spans="1:18" ht="15" customHeight="1">
      <c r="A45" s="5">
        <v>1044</v>
      </c>
      <c r="B45" s="6">
        <v>45313</v>
      </c>
      <c r="C45" s="5" t="s">
        <v>64</v>
      </c>
      <c r="D45" s="6">
        <v>45316</v>
      </c>
      <c r="E45" s="48">
        <f>'DATA '!$D45-'DATA '!$B45</f>
        <v>3</v>
      </c>
      <c r="F45" s="47" t="str">
        <f>TEXT('DATA '!$D45,"YYYY")</f>
        <v>2024</v>
      </c>
      <c r="G45" s="47" t="str">
        <f>TEXT('DATA '!$D45,"MMMM")</f>
        <v>January</v>
      </c>
      <c r="H45" s="47" t="str">
        <f>TEXT('DATA '!$B45,"DDDD")</f>
        <v>Monday</v>
      </c>
      <c r="I45" s="5">
        <v>69.989999999999995</v>
      </c>
      <c r="J45" s="7">
        <v>2</v>
      </c>
      <c r="K45" s="50">
        <f>'DATA '!$N45/'DATA '!$J45</f>
        <v>76.989000000000004</v>
      </c>
      <c r="L45" s="50">
        <f>'DATA '!$I45*'DATA '!$J45</f>
        <v>139.97999999999999</v>
      </c>
      <c r="M45" s="5">
        <v>13.997999999999999</v>
      </c>
      <c r="N45" s="5">
        <v>153.97800000000001</v>
      </c>
      <c r="O45" s="51">
        <f>'DATA '!$M45/'DATA '!$N45</f>
        <v>9.0909090909090898E-2</v>
      </c>
      <c r="P45" s="52">
        <f>'DATA '!$I45*'DATA '!$J45</f>
        <v>139.97999999999999</v>
      </c>
      <c r="Q45" s="50">
        <f>'DATA '!$P45+'DATA '!$M45</f>
        <v>153.97799999999998</v>
      </c>
      <c r="R45" s="46">
        <f t="shared" si="0"/>
        <v>0.66666666666666663</v>
      </c>
    </row>
    <row r="46" spans="1:18">
      <c r="A46" s="62">
        <v>1045</v>
      </c>
      <c r="B46" s="47">
        <v>45314</v>
      </c>
      <c r="C46" s="46" t="s">
        <v>100</v>
      </c>
      <c r="D46" s="47">
        <v>45318</v>
      </c>
      <c r="E46" s="48">
        <f>'DATA '!$D46-'DATA '!$B46</f>
        <v>4</v>
      </c>
      <c r="F46" s="47" t="str">
        <f>TEXT('DATA '!$D46,"YYYY")</f>
        <v>2024</v>
      </c>
      <c r="G46" s="47" t="str">
        <f>TEXT('DATA '!$D46,"MMMM")</f>
        <v>January</v>
      </c>
      <c r="H46" s="47" t="str">
        <f>TEXT('DATA '!$B46,"DDDD")</f>
        <v>Tuesday</v>
      </c>
      <c r="I46" s="49">
        <v>39.99</v>
      </c>
      <c r="J46" s="49">
        <v>3</v>
      </c>
      <c r="K46" s="50">
        <f>'DATA '!$N46/'DATA '!$J46</f>
        <v>43.989000000000004</v>
      </c>
      <c r="L46" s="50">
        <f>'DATA '!$I46*'DATA '!$J46</f>
        <v>119.97</v>
      </c>
      <c r="M46" s="49">
        <v>11.997</v>
      </c>
      <c r="N46" s="49">
        <v>131.96700000000001</v>
      </c>
      <c r="O46" s="51">
        <f>'DATA '!$M46/'DATA '!$N46</f>
        <v>9.0909090909090898E-2</v>
      </c>
      <c r="P46" s="52">
        <f>'DATA '!$I46*'DATA '!$J46</f>
        <v>119.97</v>
      </c>
      <c r="Q46" s="50">
        <f>'DATA '!$P46+'DATA '!$M46</f>
        <v>131.96699999999998</v>
      </c>
      <c r="R46" s="46">
        <f t="shared" ref="R46:R71" si="1">(COUNTIF(C:C, C46) - 1) / COUNTIF(C:C, C46)</f>
        <v>0.5</v>
      </c>
    </row>
    <row r="47" spans="1:18">
      <c r="A47" s="63">
        <v>1046</v>
      </c>
      <c r="B47" s="54">
        <v>45314</v>
      </c>
      <c r="C47" s="53" t="s">
        <v>80</v>
      </c>
      <c r="D47" s="54">
        <v>45317</v>
      </c>
      <c r="E47" s="55">
        <f>'DATA '!$D47-'DATA '!$B47</f>
        <v>3</v>
      </c>
      <c r="F47" s="54" t="str">
        <f>TEXT('DATA '!$D47,"YYYY")</f>
        <v>2024</v>
      </c>
      <c r="G47" s="47" t="str">
        <f>TEXT('DATA '!$D47,"MMMM")</f>
        <v>January</v>
      </c>
      <c r="H47" s="54" t="str">
        <f>TEXT('DATA '!$B47,"DDDD")</f>
        <v>Tuesday</v>
      </c>
      <c r="I47" s="56">
        <v>199.99</v>
      </c>
      <c r="J47" s="56">
        <v>1</v>
      </c>
      <c r="K47" s="57">
        <f>'DATA '!$N47/'DATA '!$J47</f>
        <v>219.989</v>
      </c>
      <c r="L47" s="57">
        <f>'DATA '!$I47*'DATA '!$J47</f>
        <v>199.99</v>
      </c>
      <c r="M47" s="56">
        <v>19.998999999999999</v>
      </c>
      <c r="N47" s="56">
        <v>219.989</v>
      </c>
      <c r="O47" s="58">
        <f>'DATA '!$M47/'DATA '!$N47</f>
        <v>9.0909090909090898E-2</v>
      </c>
      <c r="P47" s="59">
        <f>'DATA '!$I47*'DATA '!$J47</f>
        <v>199.99</v>
      </c>
      <c r="Q47" s="57">
        <f>'DATA '!$P47+'DATA '!$M47</f>
        <v>219.989</v>
      </c>
      <c r="R47" s="65">
        <f t="shared" si="1"/>
        <v>0.66666666666666663</v>
      </c>
    </row>
    <row r="48" spans="1:18">
      <c r="A48" s="62">
        <v>1047</v>
      </c>
      <c r="B48" s="47">
        <v>45315</v>
      </c>
      <c r="C48" s="46" t="s">
        <v>101</v>
      </c>
      <c r="D48" s="47">
        <v>45316</v>
      </c>
      <c r="E48" s="48">
        <f>'DATA '!$D48-'DATA '!$B48</f>
        <v>1</v>
      </c>
      <c r="F48" s="47" t="str">
        <f>TEXT('DATA '!$D48,"YYYY")</f>
        <v>2024</v>
      </c>
      <c r="G48" s="47" t="str">
        <f>TEXT('DATA '!$D48,"MMMM")</f>
        <v>January</v>
      </c>
      <c r="H48" s="47" t="str">
        <f>TEXT('DATA '!$B48,"DDDD")</f>
        <v>Wednesday</v>
      </c>
      <c r="I48" s="49">
        <v>29.99</v>
      </c>
      <c r="J48" s="49">
        <v>5</v>
      </c>
      <c r="K48" s="57">
        <f>'DATA '!$N48/'DATA '!$J48</f>
        <v>32.988999999999997</v>
      </c>
      <c r="L48" s="57">
        <f>'DATA '!$I48*'DATA '!$J48</f>
        <v>149.94999999999999</v>
      </c>
      <c r="M48" s="49">
        <v>14.994999999999999</v>
      </c>
      <c r="N48" s="49">
        <v>164.94499999999999</v>
      </c>
      <c r="O48" s="60">
        <f>'DATA '!$M48/'DATA '!$N48</f>
        <v>9.0909090909090912E-2</v>
      </c>
      <c r="P48" s="59">
        <f>'DATA '!$I48*'DATA '!$J48</f>
        <v>149.94999999999999</v>
      </c>
      <c r="Q48" s="57">
        <f>'DATA '!$P48+'DATA '!$M48</f>
        <v>164.94499999999999</v>
      </c>
      <c r="R48" s="66">
        <f t="shared" si="1"/>
        <v>0.5</v>
      </c>
    </row>
    <row r="49" spans="1:18">
      <c r="A49" s="63">
        <v>1048</v>
      </c>
      <c r="B49" s="54">
        <v>45315</v>
      </c>
      <c r="C49" s="53" t="s">
        <v>102</v>
      </c>
      <c r="D49" s="54">
        <v>45317</v>
      </c>
      <c r="E49" s="55">
        <f>'DATA '!$D49-'DATA '!$B49</f>
        <v>2</v>
      </c>
      <c r="F49" s="54" t="str">
        <f>TEXT('DATA '!$D49,"YYYY")</f>
        <v>2024</v>
      </c>
      <c r="G49" s="47" t="str">
        <f>TEXT('DATA '!$D49,"MMMM")</f>
        <v>January</v>
      </c>
      <c r="H49" s="54" t="str">
        <f>TEXT('DATA '!$B49,"DDDD")</f>
        <v>Wednesday</v>
      </c>
      <c r="I49" s="56">
        <v>79.989999999999995</v>
      </c>
      <c r="J49" s="56">
        <v>2</v>
      </c>
      <c r="K49" s="57">
        <f>'DATA '!$N49/'DATA '!$J49</f>
        <v>87.989000000000004</v>
      </c>
      <c r="L49" s="57">
        <f>'DATA '!$I49*'DATA '!$J49</f>
        <v>159.97999999999999</v>
      </c>
      <c r="M49" s="56">
        <v>15.997999999999999</v>
      </c>
      <c r="N49" s="56">
        <v>175.97800000000001</v>
      </c>
      <c r="O49" s="58">
        <f>'DATA '!$M49/'DATA '!$N49</f>
        <v>9.0909090909090898E-2</v>
      </c>
      <c r="P49" s="59">
        <f>'DATA '!$I49*'DATA '!$J49</f>
        <v>159.97999999999999</v>
      </c>
      <c r="Q49" s="57">
        <f>'DATA '!$P49+'DATA '!$M49</f>
        <v>175.97799999999998</v>
      </c>
      <c r="R49" s="65">
        <f t="shared" si="1"/>
        <v>0.5</v>
      </c>
    </row>
    <row r="50" spans="1:18">
      <c r="A50" s="62">
        <v>1049</v>
      </c>
      <c r="B50" s="47">
        <v>45316</v>
      </c>
      <c r="C50" s="46" t="s">
        <v>103</v>
      </c>
      <c r="D50" s="47">
        <v>45321</v>
      </c>
      <c r="E50" s="48">
        <f>'DATA '!$D50-'DATA '!$B50</f>
        <v>5</v>
      </c>
      <c r="F50" s="47" t="str">
        <f>TEXT('DATA '!$D50,"YYYY")</f>
        <v>2024</v>
      </c>
      <c r="G50" s="47" t="str">
        <f>TEXT('DATA '!$D50,"MMMM")</f>
        <v>January</v>
      </c>
      <c r="H50" s="47" t="str">
        <f>TEXT('DATA '!$B50,"DDDD")</f>
        <v>Thursday</v>
      </c>
      <c r="I50" s="49">
        <v>49.99</v>
      </c>
      <c r="J50" s="49">
        <v>3</v>
      </c>
      <c r="K50" s="57">
        <f>'DATA '!$N50/'DATA '!$J50</f>
        <v>54.989000000000004</v>
      </c>
      <c r="L50" s="57">
        <f>'DATA '!$I50*'DATA '!$J50</f>
        <v>149.97</v>
      </c>
      <c r="M50" s="49">
        <v>14.997</v>
      </c>
      <c r="N50" s="49">
        <v>164.96700000000001</v>
      </c>
      <c r="O50" s="60">
        <f>'DATA '!$M50/'DATA '!$N50</f>
        <v>9.0909090909090898E-2</v>
      </c>
      <c r="P50" s="59">
        <f>'DATA '!$I50*'DATA '!$J50</f>
        <v>149.97</v>
      </c>
      <c r="Q50" s="57">
        <f>'DATA '!$P50+'DATA '!$M50</f>
        <v>164.96699999999998</v>
      </c>
      <c r="R50" s="66">
        <f t="shared" si="1"/>
        <v>0.5</v>
      </c>
    </row>
    <row r="51" spans="1:18">
      <c r="A51" s="63">
        <v>1050</v>
      </c>
      <c r="B51" s="54">
        <v>45316</v>
      </c>
      <c r="C51" s="53" t="s">
        <v>104</v>
      </c>
      <c r="D51" s="54">
        <v>45318</v>
      </c>
      <c r="E51" s="55">
        <f>'DATA '!$D51-'DATA '!$B51</f>
        <v>2</v>
      </c>
      <c r="F51" s="54" t="str">
        <f>TEXT('DATA '!$D51,"YYYY")</f>
        <v>2024</v>
      </c>
      <c r="G51" s="47" t="str">
        <f>TEXT('DATA '!$D51,"MMMM")</f>
        <v>January</v>
      </c>
      <c r="H51" s="54" t="str">
        <f>TEXT('DATA '!$B51,"DDDD")</f>
        <v>Thursday</v>
      </c>
      <c r="I51" s="56">
        <v>129.99</v>
      </c>
      <c r="J51" s="56">
        <v>1</v>
      </c>
      <c r="K51" s="57">
        <f>'DATA '!$N51/'DATA '!$J51</f>
        <v>142.989</v>
      </c>
      <c r="L51" s="57">
        <f>'DATA '!$I51*'DATA '!$J51</f>
        <v>129.99</v>
      </c>
      <c r="M51" s="56">
        <v>12.999000000000001</v>
      </c>
      <c r="N51" s="56">
        <v>142.989</v>
      </c>
      <c r="O51" s="58">
        <f>'DATA '!$M51/'DATA '!$N51</f>
        <v>9.0909090909090912E-2</v>
      </c>
      <c r="P51" s="59">
        <f>'DATA '!$I51*'DATA '!$J51</f>
        <v>129.99</v>
      </c>
      <c r="Q51" s="57">
        <f>'DATA '!$P51+'DATA '!$M51</f>
        <v>142.989</v>
      </c>
      <c r="R51" s="65">
        <f t="shared" si="1"/>
        <v>0.5</v>
      </c>
    </row>
    <row r="52" spans="1:18">
      <c r="A52" s="62">
        <v>1051</v>
      </c>
      <c r="B52" s="47">
        <v>45317</v>
      </c>
      <c r="C52" s="46" t="s">
        <v>105</v>
      </c>
      <c r="D52" s="47">
        <v>45320</v>
      </c>
      <c r="E52" s="48">
        <f>'DATA '!$D52-'DATA '!$B52</f>
        <v>3</v>
      </c>
      <c r="F52" s="47" t="str">
        <f>TEXT('DATA '!$D52,"YYYY")</f>
        <v>2024</v>
      </c>
      <c r="G52" s="47" t="str">
        <f>TEXT('DATA '!$D52,"MMMM")</f>
        <v>January</v>
      </c>
      <c r="H52" s="47" t="str">
        <f>TEXT('DATA '!$B52,"DDDD")</f>
        <v>Friday</v>
      </c>
      <c r="I52" s="49">
        <v>19.989999999999998</v>
      </c>
      <c r="J52" s="49">
        <v>4</v>
      </c>
      <c r="K52" s="57">
        <f>'DATA '!$N52/'DATA '!$J52</f>
        <v>21.989000000000001</v>
      </c>
      <c r="L52" s="57">
        <f>'DATA '!$I52*'DATA '!$J52</f>
        <v>79.959999999999994</v>
      </c>
      <c r="M52" s="49">
        <v>7.9960000000000004</v>
      </c>
      <c r="N52" s="49">
        <v>87.956000000000003</v>
      </c>
      <c r="O52" s="60">
        <f>'DATA '!$M52/'DATA '!$N52</f>
        <v>9.0909090909090912E-2</v>
      </c>
      <c r="P52" s="59">
        <f>'DATA '!$I52*'DATA '!$J52</f>
        <v>79.959999999999994</v>
      </c>
      <c r="Q52" s="57">
        <f>'DATA '!$P52+'DATA '!$M52</f>
        <v>87.955999999999989</v>
      </c>
      <c r="R52" s="66">
        <f t="shared" si="1"/>
        <v>0.5</v>
      </c>
    </row>
    <row r="53" spans="1:18">
      <c r="A53" s="63">
        <v>1052</v>
      </c>
      <c r="B53" s="54">
        <v>45317</v>
      </c>
      <c r="C53" s="53" t="s">
        <v>106</v>
      </c>
      <c r="D53" s="54">
        <v>45319</v>
      </c>
      <c r="E53" s="55">
        <f>'DATA '!$D53-'DATA '!$B53</f>
        <v>2</v>
      </c>
      <c r="F53" s="54" t="str">
        <f>TEXT('DATA '!$D53,"YYYY")</f>
        <v>2024</v>
      </c>
      <c r="G53" s="47" t="str">
        <f>TEXT('DATA '!$D53,"MMMM")</f>
        <v>January</v>
      </c>
      <c r="H53" s="54" t="str">
        <f>TEXT('DATA '!$B53,"DDDD")</f>
        <v>Friday</v>
      </c>
      <c r="I53" s="56">
        <v>149.99</v>
      </c>
      <c r="J53" s="56">
        <v>1</v>
      </c>
      <c r="K53" s="57">
        <f>'DATA '!$N53/'DATA '!$J53</f>
        <v>164.989</v>
      </c>
      <c r="L53" s="57">
        <f>'DATA '!$I53*'DATA '!$J53</f>
        <v>149.99</v>
      </c>
      <c r="M53" s="56">
        <v>14.999000000000001</v>
      </c>
      <c r="N53" s="56">
        <v>164.989</v>
      </c>
      <c r="O53" s="58">
        <f>'DATA '!$M53/'DATA '!$N53</f>
        <v>9.0909090909090912E-2</v>
      </c>
      <c r="P53" s="59">
        <f>'DATA '!$I53*'DATA '!$J53</f>
        <v>149.99</v>
      </c>
      <c r="Q53" s="57">
        <f>'DATA '!$P53+'DATA '!$M53</f>
        <v>164.989</v>
      </c>
      <c r="R53" s="65">
        <f t="shared" si="1"/>
        <v>0.5</v>
      </c>
    </row>
    <row r="54" spans="1:18">
      <c r="A54" s="62">
        <v>1053</v>
      </c>
      <c r="B54" s="47">
        <v>45318</v>
      </c>
      <c r="C54" s="46" t="s">
        <v>107</v>
      </c>
      <c r="D54" s="47">
        <v>45322</v>
      </c>
      <c r="E54" s="48">
        <f>'DATA '!$D54-'DATA '!$B54</f>
        <v>4</v>
      </c>
      <c r="F54" s="47" t="str">
        <f>TEXT('DATA '!$D54,"YYYY")</f>
        <v>2024</v>
      </c>
      <c r="G54" s="47" t="str">
        <f>TEXT('DATA '!$D54,"MMMM")</f>
        <v>January</v>
      </c>
      <c r="H54" s="47" t="str">
        <f>TEXT('DATA '!$B54,"DDDD")</f>
        <v>Saturday</v>
      </c>
      <c r="I54" s="49">
        <v>69.989999999999995</v>
      </c>
      <c r="J54" s="49">
        <v>2</v>
      </c>
      <c r="K54" s="57">
        <f>'DATA '!$N54/'DATA '!$J54</f>
        <v>76.989000000000004</v>
      </c>
      <c r="L54" s="57">
        <f>'DATA '!$I54*'DATA '!$J54</f>
        <v>139.97999999999999</v>
      </c>
      <c r="M54" s="49">
        <v>13.997999999999999</v>
      </c>
      <c r="N54" s="49">
        <v>153.97800000000001</v>
      </c>
      <c r="O54" s="60">
        <f>'DATA '!$M54/'DATA '!$N54</f>
        <v>9.0909090909090898E-2</v>
      </c>
      <c r="P54" s="59">
        <f>'DATA '!$I54*'DATA '!$J54</f>
        <v>139.97999999999999</v>
      </c>
      <c r="Q54" s="57">
        <f>'DATA '!$P54+'DATA '!$M54</f>
        <v>153.97799999999998</v>
      </c>
      <c r="R54" s="66">
        <f t="shared" si="1"/>
        <v>0.5</v>
      </c>
    </row>
    <row r="55" spans="1:18">
      <c r="A55" s="63">
        <v>1054</v>
      </c>
      <c r="B55" s="54">
        <v>45318</v>
      </c>
      <c r="C55" s="53" t="s">
        <v>108</v>
      </c>
      <c r="D55" s="54">
        <v>45322</v>
      </c>
      <c r="E55" s="55">
        <f>'DATA '!$D55-'DATA '!$B55</f>
        <v>4</v>
      </c>
      <c r="F55" s="54" t="str">
        <f>TEXT('DATA '!$D55,"YYYY")</f>
        <v>2024</v>
      </c>
      <c r="G55" s="47" t="str">
        <f>TEXT('DATA '!$D55,"MMMM")</f>
        <v>January</v>
      </c>
      <c r="H55" s="54" t="str">
        <f>TEXT('DATA '!$B55,"DDDD")</f>
        <v>Saturday</v>
      </c>
      <c r="I55" s="56">
        <v>39.99</v>
      </c>
      <c r="J55" s="56">
        <v>3</v>
      </c>
      <c r="K55" s="57">
        <f>'DATA '!$N55/'DATA '!$J55</f>
        <v>43.989000000000004</v>
      </c>
      <c r="L55" s="57">
        <f>'DATA '!$I55*'DATA '!$J55</f>
        <v>119.97</v>
      </c>
      <c r="M55" s="56">
        <v>11.997</v>
      </c>
      <c r="N55" s="56">
        <v>131.96700000000001</v>
      </c>
      <c r="O55" s="58">
        <f>'DATA '!$M55/'DATA '!$N55</f>
        <v>9.0909090909090898E-2</v>
      </c>
      <c r="P55" s="59">
        <f>'DATA '!$I55*'DATA '!$J55</f>
        <v>119.97</v>
      </c>
      <c r="Q55" s="57">
        <f>'DATA '!$P55+'DATA '!$M55</f>
        <v>131.96699999999998</v>
      </c>
      <c r="R55" s="65">
        <f t="shared" si="1"/>
        <v>0.5</v>
      </c>
    </row>
    <row r="56" spans="1:18">
      <c r="A56" s="62">
        <v>1055</v>
      </c>
      <c r="B56" s="47">
        <v>45319</v>
      </c>
      <c r="C56" s="46" t="s">
        <v>109</v>
      </c>
      <c r="D56" s="47">
        <v>45320</v>
      </c>
      <c r="E56" s="48">
        <f>'DATA '!$D56-'DATA '!$B56</f>
        <v>1</v>
      </c>
      <c r="F56" s="47" t="str">
        <f>TEXT('DATA '!$D56,"YYYY")</f>
        <v>2024</v>
      </c>
      <c r="G56" s="47" t="str">
        <f>TEXT('DATA '!$D56,"MMMM")</f>
        <v>January</v>
      </c>
      <c r="H56" s="47" t="str">
        <f>TEXT('DATA '!$B56,"DDDD")</f>
        <v>Sunday</v>
      </c>
      <c r="I56" s="49">
        <v>199.99</v>
      </c>
      <c r="J56" s="49">
        <v>1</v>
      </c>
      <c r="K56" s="57">
        <f>'DATA '!$N56/'DATA '!$J56</f>
        <v>219.989</v>
      </c>
      <c r="L56" s="57">
        <f>'DATA '!$I56*'DATA '!$J56</f>
        <v>199.99</v>
      </c>
      <c r="M56" s="49">
        <v>19.998999999999999</v>
      </c>
      <c r="N56" s="49">
        <v>219.989</v>
      </c>
      <c r="O56" s="60">
        <f>'DATA '!$M56/'DATA '!$N56</f>
        <v>9.0909090909090898E-2</v>
      </c>
      <c r="P56" s="59">
        <f>'DATA '!$I56*'DATA '!$J56</f>
        <v>199.99</v>
      </c>
      <c r="Q56" s="57">
        <f>'DATA '!$P56+'DATA '!$M56</f>
        <v>219.989</v>
      </c>
      <c r="R56" s="66">
        <f t="shared" si="1"/>
        <v>0</v>
      </c>
    </row>
    <row r="57" spans="1:18">
      <c r="A57" s="63">
        <v>1056</v>
      </c>
      <c r="B57" s="54">
        <v>45319</v>
      </c>
      <c r="C57" s="53" t="s">
        <v>110</v>
      </c>
      <c r="D57" s="54">
        <v>45320</v>
      </c>
      <c r="E57" s="55">
        <f>'DATA '!$D57-'DATA '!$B57</f>
        <v>1</v>
      </c>
      <c r="F57" s="54" t="str">
        <f>TEXT('DATA '!$D57,"YYYY")</f>
        <v>2024</v>
      </c>
      <c r="G57" s="47" t="str">
        <f>TEXT('DATA '!$D57,"MMMM")</f>
        <v>January</v>
      </c>
      <c r="H57" s="54" t="str">
        <f>TEXT('DATA '!$B57,"DDDD")</f>
        <v>Sunday</v>
      </c>
      <c r="I57" s="56">
        <v>29.99</v>
      </c>
      <c r="J57" s="56">
        <v>5</v>
      </c>
      <c r="K57" s="57">
        <f>'DATA '!$N57/'DATA '!$J57</f>
        <v>32.988999999999997</v>
      </c>
      <c r="L57" s="57">
        <f>'DATA '!$I57*'DATA '!$J57</f>
        <v>149.94999999999999</v>
      </c>
      <c r="M57" s="56">
        <v>14.994999999999999</v>
      </c>
      <c r="N57" s="56">
        <v>164.94499999999999</v>
      </c>
      <c r="O57" s="58">
        <f>'DATA '!$M57/'DATA '!$N57</f>
        <v>9.0909090909090912E-2</v>
      </c>
      <c r="P57" s="59">
        <f>'DATA '!$I57*'DATA '!$J57</f>
        <v>149.94999999999999</v>
      </c>
      <c r="Q57" s="57">
        <f>'DATA '!$P57+'DATA '!$M57</f>
        <v>164.94499999999999</v>
      </c>
      <c r="R57" s="65">
        <f t="shared" si="1"/>
        <v>0</v>
      </c>
    </row>
    <row r="58" spans="1:18">
      <c r="A58" s="62">
        <v>1057</v>
      </c>
      <c r="B58" s="47">
        <v>45320</v>
      </c>
      <c r="C58" s="46" t="s">
        <v>111</v>
      </c>
      <c r="D58" s="47">
        <v>45321</v>
      </c>
      <c r="E58" s="48">
        <f>'DATA '!$D58-'DATA '!$B58</f>
        <v>1</v>
      </c>
      <c r="F58" s="47" t="str">
        <f>TEXT('DATA '!$D58,"YYYY")</f>
        <v>2024</v>
      </c>
      <c r="G58" s="47" t="str">
        <f>TEXT('DATA '!$D58,"MMMM")</f>
        <v>January</v>
      </c>
      <c r="H58" s="47" t="str">
        <f>TEXT('DATA '!$B58,"DDDD")</f>
        <v>Monday</v>
      </c>
      <c r="I58" s="49">
        <v>79.989999999999995</v>
      </c>
      <c r="J58" s="49">
        <v>2</v>
      </c>
      <c r="K58" s="57">
        <f>'DATA '!$N58/'DATA '!$J58</f>
        <v>87.989000000000004</v>
      </c>
      <c r="L58" s="57">
        <f>'DATA '!$I58*'DATA '!$J58</f>
        <v>159.97999999999999</v>
      </c>
      <c r="M58" s="49">
        <v>15.997999999999999</v>
      </c>
      <c r="N58" s="49">
        <v>175.97800000000001</v>
      </c>
      <c r="O58" s="60">
        <f>'DATA '!$M58/'DATA '!$N58</f>
        <v>9.0909090909090898E-2</v>
      </c>
      <c r="P58" s="59">
        <f>'DATA '!$I58*'DATA '!$J58</f>
        <v>159.97999999999999</v>
      </c>
      <c r="Q58" s="57">
        <f>'DATA '!$P58+'DATA '!$M58</f>
        <v>175.97799999999998</v>
      </c>
      <c r="R58" s="66">
        <f t="shared" si="1"/>
        <v>0</v>
      </c>
    </row>
    <row r="59" spans="1:18">
      <c r="A59" s="63">
        <v>1058</v>
      </c>
      <c r="B59" s="54">
        <v>45320</v>
      </c>
      <c r="C59" s="53" t="s">
        <v>98</v>
      </c>
      <c r="D59" s="54">
        <v>45322</v>
      </c>
      <c r="E59" s="55">
        <f>'DATA '!$D59-'DATA '!$B59</f>
        <v>2</v>
      </c>
      <c r="F59" s="54" t="str">
        <f>TEXT('DATA '!$D59,"YYYY")</f>
        <v>2024</v>
      </c>
      <c r="G59" s="47" t="str">
        <f>TEXT('DATA '!$D59,"MMMM")</f>
        <v>January</v>
      </c>
      <c r="H59" s="54" t="str">
        <f>TEXT('DATA '!$B59,"DDDD")</f>
        <v>Monday</v>
      </c>
      <c r="I59" s="56">
        <v>49.99</v>
      </c>
      <c r="J59" s="56">
        <v>3</v>
      </c>
      <c r="K59" s="57">
        <f>'DATA '!$N59/'DATA '!$J59</f>
        <v>54.989000000000004</v>
      </c>
      <c r="L59" s="57">
        <f>'DATA '!$I59*'DATA '!$J59</f>
        <v>149.97</v>
      </c>
      <c r="M59" s="56">
        <v>14.997</v>
      </c>
      <c r="N59" s="56">
        <v>164.96700000000001</v>
      </c>
      <c r="O59" s="58">
        <f>'DATA '!$M59/'DATA '!$N59</f>
        <v>9.0909090909090898E-2</v>
      </c>
      <c r="P59" s="59">
        <f>'DATA '!$I59*'DATA '!$J59</f>
        <v>149.97</v>
      </c>
      <c r="Q59" s="57">
        <f>'DATA '!$P59+'DATA '!$M59</f>
        <v>164.96699999999998</v>
      </c>
      <c r="R59" s="65">
        <f t="shared" si="1"/>
        <v>0.5</v>
      </c>
    </row>
    <row r="60" spans="1:18">
      <c r="A60" s="62">
        <v>1059</v>
      </c>
      <c r="B60" s="47">
        <v>45321</v>
      </c>
      <c r="C60" s="46" t="s">
        <v>99</v>
      </c>
      <c r="D60" s="47">
        <v>45322</v>
      </c>
      <c r="E60" s="48">
        <f>'DATA '!$D60-'DATA '!$B60</f>
        <v>1</v>
      </c>
      <c r="F60" s="47" t="str">
        <f>TEXT('DATA '!$D60,"YYYY")</f>
        <v>2024</v>
      </c>
      <c r="G60" s="47" t="str">
        <f>TEXT('DATA '!$D60,"MMMM")</f>
        <v>January</v>
      </c>
      <c r="H60" s="47" t="str">
        <f>TEXT('DATA '!$B60,"DDDD")</f>
        <v>Tuesday</v>
      </c>
      <c r="I60" s="49">
        <v>129.99</v>
      </c>
      <c r="J60" s="49">
        <v>1</v>
      </c>
      <c r="K60" s="57">
        <f>'DATA '!$N60/'DATA '!$J60</f>
        <v>142.989</v>
      </c>
      <c r="L60" s="57">
        <f>'DATA '!$I60*'DATA '!$J60</f>
        <v>129.99</v>
      </c>
      <c r="M60" s="49">
        <v>12.999000000000001</v>
      </c>
      <c r="N60" s="49">
        <v>142.989</v>
      </c>
      <c r="O60" s="60">
        <f>'DATA '!$M60/'DATA '!$N60</f>
        <v>9.0909090909090912E-2</v>
      </c>
      <c r="P60" s="59">
        <f>'DATA '!$I60*'DATA '!$J60</f>
        <v>129.99</v>
      </c>
      <c r="Q60" s="57">
        <f>'DATA '!$P60+'DATA '!$M60</f>
        <v>142.989</v>
      </c>
      <c r="R60" s="66">
        <f t="shared" si="1"/>
        <v>0.5</v>
      </c>
    </row>
    <row r="61" spans="1:18">
      <c r="A61" s="63">
        <v>1060</v>
      </c>
      <c r="B61" s="54">
        <v>45321</v>
      </c>
      <c r="C61" s="53" t="s">
        <v>64</v>
      </c>
      <c r="D61" s="54">
        <v>45323</v>
      </c>
      <c r="E61" s="55">
        <f>'DATA '!$D61-'DATA '!$B61</f>
        <v>2</v>
      </c>
      <c r="F61" s="54" t="str">
        <f>TEXT('DATA '!$D61,"YYYY")</f>
        <v>2024</v>
      </c>
      <c r="G61" s="47" t="str">
        <f>TEXT('DATA '!$D61,"MMMM")</f>
        <v>February</v>
      </c>
      <c r="H61" s="54" t="str">
        <f>TEXT('DATA '!$B61,"DDDD")</f>
        <v>Tuesday</v>
      </c>
      <c r="I61" s="56">
        <v>19.989999999999998</v>
      </c>
      <c r="J61" s="56">
        <v>4</v>
      </c>
      <c r="K61" s="57">
        <f>'DATA '!$N61/'DATA '!$J61</f>
        <v>21.989000000000001</v>
      </c>
      <c r="L61" s="57">
        <f>'DATA '!$I61*'DATA '!$J61</f>
        <v>79.959999999999994</v>
      </c>
      <c r="M61" s="56">
        <v>7.9960000000000004</v>
      </c>
      <c r="N61" s="56">
        <v>87.956000000000003</v>
      </c>
      <c r="O61" s="58">
        <f>'DATA '!$M61/'DATA '!$N61</f>
        <v>9.0909090909090912E-2</v>
      </c>
      <c r="P61" s="59">
        <f>'DATA '!$I61*'DATA '!$J61</f>
        <v>79.959999999999994</v>
      </c>
      <c r="Q61" s="57">
        <f>'DATA '!$P61+'DATA '!$M61</f>
        <v>87.955999999999989</v>
      </c>
      <c r="R61" s="65">
        <f t="shared" si="1"/>
        <v>0.66666666666666663</v>
      </c>
    </row>
    <row r="62" spans="1:18">
      <c r="A62" s="62">
        <v>1061</v>
      </c>
      <c r="B62" s="47">
        <v>45322</v>
      </c>
      <c r="C62" s="46" t="s">
        <v>100</v>
      </c>
      <c r="D62" s="47">
        <v>45324</v>
      </c>
      <c r="E62" s="48">
        <f>'DATA '!$D62-'DATA '!$B62</f>
        <v>2</v>
      </c>
      <c r="F62" s="47" t="str">
        <f>TEXT('DATA '!$D62,"YYYY")</f>
        <v>2024</v>
      </c>
      <c r="G62" s="47" t="str">
        <f>TEXT('DATA '!$D62,"MMMM")</f>
        <v>February</v>
      </c>
      <c r="H62" s="47" t="str">
        <f>TEXT('DATA '!$B62,"DDDD")</f>
        <v>Wednesday</v>
      </c>
      <c r="I62" s="49">
        <v>149.99</v>
      </c>
      <c r="J62" s="49">
        <v>1</v>
      </c>
      <c r="K62" s="57">
        <f>'DATA '!$N62/'DATA '!$J62</f>
        <v>164.989</v>
      </c>
      <c r="L62" s="57">
        <f>'DATA '!$I62*'DATA '!$J62</f>
        <v>149.99</v>
      </c>
      <c r="M62" s="49">
        <v>14.999000000000001</v>
      </c>
      <c r="N62" s="49">
        <v>164.989</v>
      </c>
      <c r="O62" s="60">
        <f>'DATA '!$M62/'DATA '!$N62</f>
        <v>9.0909090909090912E-2</v>
      </c>
      <c r="P62" s="59">
        <f>'DATA '!$I62*'DATA '!$J62</f>
        <v>149.99</v>
      </c>
      <c r="Q62" s="57">
        <f>'DATA '!$P62+'DATA '!$M62</f>
        <v>164.989</v>
      </c>
      <c r="R62" s="66">
        <f t="shared" si="1"/>
        <v>0.5</v>
      </c>
    </row>
    <row r="63" spans="1:18">
      <c r="A63" s="63">
        <v>1062</v>
      </c>
      <c r="B63" s="54">
        <v>45322</v>
      </c>
      <c r="C63" s="53" t="s">
        <v>80</v>
      </c>
      <c r="D63" s="54">
        <v>45326</v>
      </c>
      <c r="E63" s="55">
        <f>'DATA '!$D63-'DATA '!$B63</f>
        <v>4</v>
      </c>
      <c r="F63" s="54" t="str">
        <f>TEXT('DATA '!$D63,"YYYY")</f>
        <v>2024</v>
      </c>
      <c r="G63" s="47" t="str">
        <f>TEXT('DATA '!$D63,"MMMM")</f>
        <v>February</v>
      </c>
      <c r="H63" s="54" t="str">
        <f>TEXT('DATA '!$B63,"DDDD")</f>
        <v>Wednesday</v>
      </c>
      <c r="I63" s="56">
        <v>69.989999999999995</v>
      </c>
      <c r="J63" s="56">
        <v>2</v>
      </c>
      <c r="K63" s="57">
        <f>'DATA '!$N63/'DATA '!$J63</f>
        <v>76.989000000000004</v>
      </c>
      <c r="L63" s="57">
        <f>'DATA '!$I63*'DATA '!$J63</f>
        <v>139.97999999999999</v>
      </c>
      <c r="M63" s="56">
        <v>13.997999999999999</v>
      </c>
      <c r="N63" s="56">
        <v>153.97800000000001</v>
      </c>
      <c r="O63" s="58">
        <f>'DATA '!$M63/'DATA '!$N63</f>
        <v>9.0909090909090898E-2</v>
      </c>
      <c r="P63" s="59">
        <f>'DATA '!$I63*'DATA '!$J63</f>
        <v>139.97999999999999</v>
      </c>
      <c r="Q63" s="57">
        <f>'DATA '!$P63+'DATA '!$M63</f>
        <v>153.97799999999998</v>
      </c>
      <c r="R63" s="65">
        <f t="shared" si="1"/>
        <v>0.66666666666666663</v>
      </c>
    </row>
    <row r="64" spans="1:18">
      <c r="A64" s="62">
        <v>1063</v>
      </c>
      <c r="B64" s="47">
        <v>45323</v>
      </c>
      <c r="C64" s="46" t="s">
        <v>101</v>
      </c>
      <c r="D64" s="47">
        <v>45324</v>
      </c>
      <c r="E64" s="48">
        <f>'DATA '!$D64-'DATA '!$B64</f>
        <v>1</v>
      </c>
      <c r="F64" s="47" t="str">
        <f>TEXT('DATA '!$D64,"YYYY")</f>
        <v>2024</v>
      </c>
      <c r="G64" s="47" t="str">
        <f>TEXT('DATA '!$D64,"MMMM")</f>
        <v>February</v>
      </c>
      <c r="H64" s="47" t="str">
        <f>TEXT('DATA '!$B64,"DDDD")</f>
        <v>Thursday</v>
      </c>
      <c r="I64" s="49">
        <v>39.99</v>
      </c>
      <c r="J64" s="49">
        <v>3</v>
      </c>
      <c r="K64" s="57">
        <f>'DATA '!$N64/'DATA '!$J64</f>
        <v>43.989000000000004</v>
      </c>
      <c r="L64" s="57">
        <f>'DATA '!$I64*'DATA '!$J64</f>
        <v>119.97</v>
      </c>
      <c r="M64" s="49">
        <v>11.997</v>
      </c>
      <c r="N64" s="49">
        <v>131.96700000000001</v>
      </c>
      <c r="O64" s="60">
        <f>'DATA '!$M64/'DATA '!$N64</f>
        <v>9.0909090909090898E-2</v>
      </c>
      <c r="P64" s="59">
        <f>'DATA '!$I64*'DATA '!$J64</f>
        <v>119.97</v>
      </c>
      <c r="Q64" s="57">
        <f>'DATA '!$P64+'DATA '!$M64</f>
        <v>131.96699999999998</v>
      </c>
      <c r="R64" s="66">
        <f t="shared" si="1"/>
        <v>0.5</v>
      </c>
    </row>
    <row r="65" spans="1:18">
      <c r="A65" s="63">
        <v>1064</v>
      </c>
      <c r="B65" s="54">
        <v>45323</v>
      </c>
      <c r="C65" s="53" t="s">
        <v>102</v>
      </c>
      <c r="D65" s="54">
        <v>45327</v>
      </c>
      <c r="E65" s="55">
        <f>'DATA '!$D65-'DATA '!$B65</f>
        <v>4</v>
      </c>
      <c r="F65" s="54" t="str">
        <f>TEXT('DATA '!$D65,"YYYY")</f>
        <v>2024</v>
      </c>
      <c r="G65" s="47" t="str">
        <f>TEXT('DATA '!$D65,"MMMM")</f>
        <v>February</v>
      </c>
      <c r="H65" s="54" t="str">
        <f>TEXT('DATA '!$B65,"DDDD")</f>
        <v>Thursday</v>
      </c>
      <c r="I65" s="56">
        <v>199.99</v>
      </c>
      <c r="J65" s="56">
        <v>1</v>
      </c>
      <c r="K65" s="57">
        <f>'DATA '!$N65/'DATA '!$J65</f>
        <v>219.989</v>
      </c>
      <c r="L65" s="57">
        <f>'DATA '!$I65*'DATA '!$J65</f>
        <v>199.99</v>
      </c>
      <c r="M65" s="56">
        <v>19.998999999999999</v>
      </c>
      <c r="N65" s="56">
        <v>219.989</v>
      </c>
      <c r="O65" s="58">
        <f>'DATA '!$M65/'DATA '!$N65</f>
        <v>9.0909090909090898E-2</v>
      </c>
      <c r="P65" s="59">
        <f>'DATA '!$I65*'DATA '!$J65</f>
        <v>199.99</v>
      </c>
      <c r="Q65" s="57">
        <f>'DATA '!$P65+'DATA '!$M65</f>
        <v>219.989</v>
      </c>
      <c r="R65" s="65">
        <f t="shared" si="1"/>
        <v>0.5</v>
      </c>
    </row>
    <row r="66" spans="1:18">
      <c r="A66" s="62">
        <v>1065</v>
      </c>
      <c r="B66" s="47">
        <v>45323</v>
      </c>
      <c r="C66" s="46" t="s">
        <v>103</v>
      </c>
      <c r="D66" s="47">
        <v>45325</v>
      </c>
      <c r="E66" s="48">
        <f>'DATA '!$D66-'DATA '!$B66</f>
        <v>2</v>
      </c>
      <c r="F66" s="47" t="str">
        <f>TEXT('DATA '!$D66,"YYYY")</f>
        <v>2024</v>
      </c>
      <c r="G66" s="47" t="str">
        <f>TEXT('DATA '!$D66,"MMMM")</f>
        <v>February</v>
      </c>
      <c r="H66" s="47" t="str">
        <f>TEXT('DATA '!$B66,"DDDD")</f>
        <v>Thursday</v>
      </c>
      <c r="I66" s="49">
        <v>29.99</v>
      </c>
      <c r="J66" s="49">
        <v>5</v>
      </c>
      <c r="K66" s="57">
        <f>'DATA '!$N66/'DATA '!$J66</f>
        <v>32.988999999999997</v>
      </c>
      <c r="L66" s="57">
        <f>'DATA '!$I66*'DATA '!$J66</f>
        <v>149.94999999999999</v>
      </c>
      <c r="M66" s="49">
        <v>14.994999999999999</v>
      </c>
      <c r="N66" s="49">
        <v>164.94499999999999</v>
      </c>
      <c r="O66" s="60">
        <f>'DATA '!$M66/'DATA '!$N66</f>
        <v>9.0909090909090912E-2</v>
      </c>
      <c r="P66" s="59">
        <f>'DATA '!$I66*'DATA '!$J66</f>
        <v>149.94999999999999</v>
      </c>
      <c r="Q66" s="57">
        <f>'DATA '!$P66+'DATA '!$M66</f>
        <v>164.94499999999999</v>
      </c>
      <c r="R66" s="66">
        <f t="shared" si="1"/>
        <v>0.5</v>
      </c>
    </row>
    <row r="67" spans="1:18">
      <c r="A67" s="63">
        <v>1066</v>
      </c>
      <c r="B67" s="54">
        <v>45324</v>
      </c>
      <c r="C67" s="53" t="s">
        <v>104</v>
      </c>
      <c r="D67" s="54">
        <v>45328</v>
      </c>
      <c r="E67" s="55">
        <f>'DATA '!$D67-'DATA '!$B67</f>
        <v>4</v>
      </c>
      <c r="F67" s="54" t="str">
        <f>TEXT('DATA '!$D67,"YYYY")</f>
        <v>2024</v>
      </c>
      <c r="G67" s="47" t="str">
        <f>TEXT('DATA '!$D67,"MMMM")</f>
        <v>February</v>
      </c>
      <c r="H67" s="54" t="str">
        <f>TEXT('DATA '!$B67,"DDDD")</f>
        <v>Friday</v>
      </c>
      <c r="I67" s="56">
        <v>79.989999999999995</v>
      </c>
      <c r="J67" s="56">
        <v>2</v>
      </c>
      <c r="K67" s="57">
        <f>'DATA '!$N67/'DATA '!$J67</f>
        <v>87.989000000000004</v>
      </c>
      <c r="L67" s="57">
        <f>'DATA '!$I67*'DATA '!$J67</f>
        <v>159.97999999999999</v>
      </c>
      <c r="M67" s="56">
        <v>15.997999999999999</v>
      </c>
      <c r="N67" s="56">
        <v>175.97800000000001</v>
      </c>
      <c r="O67" s="58">
        <f>'DATA '!$M67/'DATA '!$N67</f>
        <v>9.0909090909090898E-2</v>
      </c>
      <c r="P67" s="59">
        <f>'DATA '!$I67*'DATA '!$J67</f>
        <v>159.97999999999999</v>
      </c>
      <c r="Q67" s="57">
        <f>'DATA '!$P67+'DATA '!$M67</f>
        <v>175.97799999999998</v>
      </c>
      <c r="R67" s="65">
        <f t="shared" si="1"/>
        <v>0.5</v>
      </c>
    </row>
    <row r="68" spans="1:18">
      <c r="A68" s="62">
        <v>1067</v>
      </c>
      <c r="B68" s="47">
        <v>45325</v>
      </c>
      <c r="C68" s="46" t="s">
        <v>105</v>
      </c>
      <c r="D68" s="47">
        <v>45328</v>
      </c>
      <c r="E68" s="48">
        <f>'DATA '!$D68-'DATA '!$B68</f>
        <v>3</v>
      </c>
      <c r="F68" s="47" t="str">
        <f>TEXT('DATA '!$D68,"YYYY")</f>
        <v>2024</v>
      </c>
      <c r="G68" s="47" t="str">
        <f>TEXT('DATA '!$D68,"MMMM")</f>
        <v>February</v>
      </c>
      <c r="H68" s="47" t="str">
        <f>TEXT('DATA '!$B68,"DDDD")</f>
        <v>Saturday</v>
      </c>
      <c r="I68" s="49">
        <v>49.99</v>
      </c>
      <c r="J68" s="49">
        <v>3</v>
      </c>
      <c r="K68" s="57">
        <f>'DATA '!$N68/'DATA '!$J68</f>
        <v>54.989000000000004</v>
      </c>
      <c r="L68" s="57">
        <f>'DATA '!$I68*'DATA '!$J68</f>
        <v>149.97</v>
      </c>
      <c r="M68" s="49">
        <v>14.997</v>
      </c>
      <c r="N68" s="49">
        <v>164.96700000000001</v>
      </c>
      <c r="O68" s="60">
        <f>'DATA '!$M68/'DATA '!$N68</f>
        <v>9.0909090909090898E-2</v>
      </c>
      <c r="P68" s="59">
        <f>'DATA '!$I68*'DATA '!$J68</f>
        <v>149.97</v>
      </c>
      <c r="Q68" s="57">
        <f>'DATA '!$P68+'DATA '!$M68</f>
        <v>164.96699999999998</v>
      </c>
      <c r="R68" s="66">
        <f t="shared" si="1"/>
        <v>0.5</v>
      </c>
    </row>
    <row r="69" spans="1:18">
      <c r="A69" s="63">
        <v>1068</v>
      </c>
      <c r="B69" s="54">
        <v>45326</v>
      </c>
      <c r="C69" s="53" t="s">
        <v>106</v>
      </c>
      <c r="D69" s="54">
        <v>45327</v>
      </c>
      <c r="E69" s="55">
        <f>'DATA '!$D69-'DATA '!$B69</f>
        <v>1</v>
      </c>
      <c r="F69" s="54" t="str">
        <f>TEXT('DATA '!$D69,"YYYY")</f>
        <v>2024</v>
      </c>
      <c r="G69" s="47" t="str">
        <f>TEXT('DATA '!$D69,"MMMM")</f>
        <v>February</v>
      </c>
      <c r="H69" s="54" t="str">
        <f>TEXT('DATA '!$B69,"DDDD")</f>
        <v>Sunday</v>
      </c>
      <c r="I69" s="56">
        <v>129.99</v>
      </c>
      <c r="J69" s="56">
        <v>1</v>
      </c>
      <c r="K69" s="57">
        <f>'DATA '!$N69/'DATA '!$J69</f>
        <v>142.989</v>
      </c>
      <c r="L69" s="57">
        <f>'DATA '!$I69*'DATA '!$J69</f>
        <v>129.99</v>
      </c>
      <c r="M69" s="56">
        <v>12.999000000000001</v>
      </c>
      <c r="N69" s="56">
        <v>142.989</v>
      </c>
      <c r="O69" s="58">
        <f>'DATA '!$M69/'DATA '!$N69</f>
        <v>9.0909090909090912E-2</v>
      </c>
      <c r="P69" s="59">
        <f>'DATA '!$I69*'DATA '!$J69</f>
        <v>129.99</v>
      </c>
      <c r="Q69" s="57">
        <f>'DATA '!$P69+'DATA '!$M69</f>
        <v>142.989</v>
      </c>
      <c r="R69" s="65">
        <f t="shared" si="1"/>
        <v>0.5</v>
      </c>
    </row>
    <row r="70" spans="1:18">
      <c r="A70" s="62">
        <v>1069</v>
      </c>
      <c r="B70" s="47">
        <v>45326</v>
      </c>
      <c r="C70" s="46" t="s">
        <v>107</v>
      </c>
      <c r="D70" s="47">
        <v>45330</v>
      </c>
      <c r="E70" s="48">
        <f>'DATA '!$D70-'DATA '!$B70</f>
        <v>4</v>
      </c>
      <c r="F70" s="47" t="str">
        <f>TEXT('DATA '!$D70,"YYYY")</f>
        <v>2024</v>
      </c>
      <c r="G70" s="47" t="str">
        <f>TEXT('DATA '!$D70,"MMMM")</f>
        <v>February</v>
      </c>
      <c r="H70" s="47" t="str">
        <f>TEXT('DATA '!$B70,"DDDD")</f>
        <v>Sunday</v>
      </c>
      <c r="I70" s="49">
        <v>19.989999999999998</v>
      </c>
      <c r="J70" s="49">
        <v>4</v>
      </c>
      <c r="K70" s="57">
        <f>'DATA '!$N70/'DATA '!$J70</f>
        <v>21.989000000000001</v>
      </c>
      <c r="L70" s="57">
        <f>'DATA '!$I70*'DATA '!$J70</f>
        <v>79.959999999999994</v>
      </c>
      <c r="M70" s="49">
        <v>7.9960000000000004</v>
      </c>
      <c r="N70" s="49">
        <v>87.956000000000003</v>
      </c>
      <c r="O70" s="60">
        <f>'DATA '!$M70/'DATA '!$N70</f>
        <v>9.0909090909090912E-2</v>
      </c>
      <c r="P70" s="59">
        <f>'DATA '!$I70*'DATA '!$J70</f>
        <v>79.959999999999994</v>
      </c>
      <c r="Q70" s="57">
        <f>'DATA '!$P70+'DATA '!$M70</f>
        <v>87.955999999999989</v>
      </c>
      <c r="R70" s="66">
        <f t="shared" si="1"/>
        <v>0.5</v>
      </c>
    </row>
    <row r="71" spans="1:18">
      <c r="A71" s="63">
        <v>1070</v>
      </c>
      <c r="B71" s="54">
        <v>45326</v>
      </c>
      <c r="C71" s="53" t="s">
        <v>108</v>
      </c>
      <c r="D71" s="54">
        <v>45329</v>
      </c>
      <c r="E71" s="55">
        <f>'DATA '!$D71-'DATA '!$B71</f>
        <v>3</v>
      </c>
      <c r="F71" s="54" t="str">
        <f>TEXT('DATA '!$D71,"YYYY")</f>
        <v>2024</v>
      </c>
      <c r="G71" s="47" t="str">
        <f>TEXT('DATA '!$D71,"MMMM")</f>
        <v>February</v>
      </c>
      <c r="H71" s="54" t="str">
        <f>TEXT('DATA '!$B71,"DDDD")</f>
        <v>Sunday</v>
      </c>
      <c r="I71" s="56">
        <v>149.99</v>
      </c>
      <c r="J71" s="56">
        <v>1</v>
      </c>
      <c r="K71" s="57">
        <f>'DATA '!$N71/'DATA '!$J71</f>
        <v>164.989</v>
      </c>
      <c r="L71" s="57">
        <f>'DATA '!$I71*'DATA '!$J71</f>
        <v>149.99</v>
      </c>
      <c r="M71" s="56">
        <v>14.999000000000001</v>
      </c>
      <c r="N71" s="56">
        <v>164.989</v>
      </c>
      <c r="O71" s="58">
        <f>'DATA '!$M71/'DATA '!$N71</f>
        <v>9.0909090909090912E-2</v>
      </c>
      <c r="P71" s="59">
        <f>'DATA '!$I71*'DATA '!$J71</f>
        <v>149.99</v>
      </c>
      <c r="Q71" s="57">
        <f>'DATA '!$P71+'DATA '!$M71</f>
        <v>164.989</v>
      </c>
      <c r="R71" s="65">
        <f t="shared" si="1"/>
        <v>0.5</v>
      </c>
    </row>
    <row r="72" spans="1:18" ht="15" customHeight="1">
      <c r="A72" s="67">
        <f>COUNT(Table1[Order No])</f>
        <v>70</v>
      </c>
      <c r="B72" s="68"/>
      <c r="C72" s="67"/>
      <c r="D72" s="68"/>
      <c r="E72" s="69">
        <f>AVERAGE(Table1[Shipping Delay])</f>
        <v>2.9</v>
      </c>
      <c r="F72" s="68"/>
      <c r="G72" s="68"/>
      <c r="H72" s="68"/>
      <c r="I72" s="70">
        <f>SUM(Table1[Retail_Price(USD)])</f>
        <v>5909.2999999999902</v>
      </c>
      <c r="J72" s="70">
        <f>SUM(Table1[Order_Quantity])</f>
        <v>168</v>
      </c>
      <c r="K72" s="71"/>
      <c r="L72" s="71"/>
      <c r="M72" s="70">
        <f>SUM(Table1[Tax_(USD)])</f>
        <v>986.83200000000033</v>
      </c>
      <c r="N72" s="70">
        <f>SUM(Table1[Total_(USD)])</f>
        <v>10855.151999999991</v>
      </c>
      <c r="O72" s="72"/>
      <c r="P72" s="73">
        <f>SUM(Table1[Net Revenue2])</f>
        <v>9868.3199999999906</v>
      </c>
      <c r="Q72" s="71">
        <f>SUM(Table1[Gross tax])</f>
        <v>10855.151999999991</v>
      </c>
      <c r="R72" s="74"/>
    </row>
  </sheetData>
  <phoneticPr fontId="4" type="noConversion"/>
  <pageMargins left="0.7" right="0.7" top="0.75" bottom="0.75" header="0.3" footer="0.3"/>
  <pageSetup orientation="portrait" r:id="rId1"/>
  <tableParts count="2">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71"/>
  <sheetViews>
    <sheetView topLeftCell="A27" workbookViewId="0">
      <selection sqref="A1:H45"/>
    </sheetView>
  </sheetViews>
  <sheetFormatPr defaultRowHeight="15"/>
  <cols>
    <col min="1" max="1" width="12" bestFit="1" customWidth="1"/>
    <col min="2" max="2" width="13.7109375" bestFit="1" customWidth="1"/>
    <col min="3" max="3" width="20.28515625" bestFit="1" customWidth="1"/>
    <col min="4" max="4" width="12.28515625" bestFit="1" customWidth="1"/>
    <col min="5" max="5" width="21.7109375" customWidth="1"/>
    <col min="6" max="6" width="12.28515625" customWidth="1"/>
    <col min="7" max="7" width="10.85546875" customWidth="1"/>
    <col min="8" max="8" width="11.42578125" customWidth="1"/>
    <col min="11" max="11" width="13.7109375" bestFit="1" customWidth="1"/>
    <col min="13" max="13" width="19.85546875" bestFit="1" customWidth="1"/>
  </cols>
  <sheetData>
    <row r="1" spans="1:15" ht="15.75">
      <c r="A1" s="1" t="s">
        <v>44</v>
      </c>
      <c r="B1" s="2" t="s">
        <v>45</v>
      </c>
      <c r="C1" s="2" t="s">
        <v>46</v>
      </c>
      <c r="D1" s="2" t="s">
        <v>47</v>
      </c>
      <c r="E1" s="2" t="s">
        <v>0</v>
      </c>
      <c r="F1" s="2" t="s">
        <v>1</v>
      </c>
      <c r="G1" s="2" t="s">
        <v>2</v>
      </c>
      <c r="H1" s="3" t="s">
        <v>3</v>
      </c>
      <c r="K1" s="2" t="s">
        <v>45</v>
      </c>
      <c r="L1" s="3" t="s">
        <v>3</v>
      </c>
      <c r="M1" s="2" t="s">
        <v>0</v>
      </c>
      <c r="N1" s="2" t="s">
        <v>1</v>
      </c>
      <c r="O1" s="2" t="s">
        <v>2</v>
      </c>
    </row>
    <row r="2" spans="1:15">
      <c r="A2" s="4">
        <v>1001</v>
      </c>
      <c r="B2" s="6">
        <v>45292</v>
      </c>
      <c r="C2" s="5" t="s">
        <v>61</v>
      </c>
      <c r="D2" s="6">
        <v>45294</v>
      </c>
      <c r="E2" s="5">
        <v>49.99</v>
      </c>
      <c r="F2" s="5">
        <v>2</v>
      </c>
      <c r="G2" s="5">
        <v>9.9979999999999993</v>
      </c>
      <c r="H2" s="5">
        <v>109.97799999999999</v>
      </c>
      <c r="K2" s="6">
        <v>45292</v>
      </c>
      <c r="L2" s="5">
        <v>109.97799999999999</v>
      </c>
      <c r="M2" s="5">
        <v>49.99</v>
      </c>
      <c r="N2" s="5">
        <v>2</v>
      </c>
      <c r="O2" s="5">
        <v>9.9979999999999993</v>
      </c>
    </row>
    <row r="3" spans="1:15">
      <c r="A3" s="4">
        <v>1002</v>
      </c>
      <c r="B3" s="6">
        <v>45292</v>
      </c>
      <c r="C3" s="5" t="s">
        <v>62</v>
      </c>
      <c r="D3" s="6">
        <v>45295</v>
      </c>
      <c r="E3" s="5">
        <v>29.99</v>
      </c>
      <c r="F3" s="5">
        <v>1</v>
      </c>
      <c r="G3" s="5">
        <v>2.9990000000000001</v>
      </c>
      <c r="H3" s="5">
        <v>32.988999999999997</v>
      </c>
      <c r="K3" s="6">
        <v>45292</v>
      </c>
      <c r="L3" s="5">
        <v>32.988999999999997</v>
      </c>
      <c r="M3" s="5">
        <v>29.99</v>
      </c>
      <c r="N3" s="5">
        <v>1</v>
      </c>
      <c r="O3" s="5">
        <v>2.9990000000000001</v>
      </c>
    </row>
    <row r="4" spans="1:15">
      <c r="A4" s="4">
        <v>1003</v>
      </c>
      <c r="B4" s="6">
        <v>45293</v>
      </c>
      <c r="C4" s="5" t="s">
        <v>63</v>
      </c>
      <c r="D4" s="6">
        <v>45298</v>
      </c>
      <c r="E4" s="5">
        <v>99.99</v>
      </c>
      <c r="F4" s="5">
        <v>3</v>
      </c>
      <c r="G4" s="5">
        <v>29.997</v>
      </c>
      <c r="H4" s="5">
        <v>329.96699999999998</v>
      </c>
      <c r="K4" s="6">
        <v>45293</v>
      </c>
      <c r="L4" s="5">
        <v>329.96699999999998</v>
      </c>
      <c r="M4" s="5">
        <v>99.99</v>
      </c>
      <c r="N4" s="5">
        <v>3</v>
      </c>
      <c r="O4" s="5">
        <v>29.997</v>
      </c>
    </row>
    <row r="5" spans="1:15">
      <c r="A5" s="4">
        <v>1004</v>
      </c>
      <c r="B5" s="6">
        <v>45293</v>
      </c>
      <c r="C5" s="5" t="s">
        <v>64</v>
      </c>
      <c r="D5" s="6">
        <v>45294</v>
      </c>
      <c r="E5" s="5">
        <v>19.989999999999998</v>
      </c>
      <c r="F5" s="5">
        <v>4</v>
      </c>
      <c r="G5" s="5">
        <v>7.9960000000000004</v>
      </c>
      <c r="H5" s="5">
        <v>87.956000000000003</v>
      </c>
      <c r="K5" s="6">
        <v>45293</v>
      </c>
      <c r="L5" s="5">
        <v>87.956000000000003</v>
      </c>
      <c r="M5" s="5">
        <v>19.989999999999998</v>
      </c>
      <c r="N5" s="5">
        <v>4</v>
      </c>
      <c r="O5" s="5">
        <v>7.9960000000000004</v>
      </c>
    </row>
    <row r="6" spans="1:15">
      <c r="A6" s="4">
        <v>1005</v>
      </c>
      <c r="B6" s="6">
        <v>45294</v>
      </c>
      <c r="C6" s="5" t="s">
        <v>65</v>
      </c>
      <c r="D6" s="6">
        <v>45299</v>
      </c>
      <c r="E6" s="5">
        <v>149.99</v>
      </c>
      <c r="F6" s="5">
        <v>1</v>
      </c>
      <c r="G6" s="5">
        <v>14.999000000000001</v>
      </c>
      <c r="H6" s="5">
        <v>164.989</v>
      </c>
      <c r="K6" s="6">
        <v>45294</v>
      </c>
      <c r="L6" s="5">
        <v>164.989</v>
      </c>
      <c r="M6" s="5">
        <v>149.99</v>
      </c>
      <c r="N6" s="5">
        <v>1</v>
      </c>
      <c r="O6" s="5">
        <v>14.999000000000001</v>
      </c>
    </row>
    <row r="7" spans="1:15">
      <c r="A7" s="4">
        <v>1006</v>
      </c>
      <c r="B7" s="6">
        <v>45294</v>
      </c>
      <c r="C7" s="5" t="s">
        <v>66</v>
      </c>
      <c r="D7" s="6">
        <v>45297</v>
      </c>
      <c r="E7" s="5">
        <v>79.989999999999995</v>
      </c>
      <c r="F7" s="5">
        <v>2</v>
      </c>
      <c r="G7" s="5">
        <v>15.997999999999999</v>
      </c>
      <c r="H7" s="5">
        <v>175.97800000000001</v>
      </c>
      <c r="K7" s="6">
        <v>45294</v>
      </c>
      <c r="L7" s="5">
        <v>175.97800000000001</v>
      </c>
      <c r="M7" s="5">
        <v>79.989999999999995</v>
      </c>
      <c r="N7" s="5">
        <v>2</v>
      </c>
      <c r="O7" s="5">
        <v>15.997999999999999</v>
      </c>
    </row>
    <row r="8" spans="1:15">
      <c r="A8" s="4">
        <v>1007</v>
      </c>
      <c r="B8" s="6">
        <v>45295</v>
      </c>
      <c r="C8" s="5" t="s">
        <v>67</v>
      </c>
      <c r="D8" s="6">
        <v>45297</v>
      </c>
      <c r="E8" s="5">
        <v>39.99</v>
      </c>
      <c r="F8" s="5">
        <v>3</v>
      </c>
      <c r="G8" s="5">
        <v>11.997</v>
      </c>
      <c r="H8" s="5">
        <v>131.96700000000001</v>
      </c>
      <c r="K8" s="6">
        <v>45295</v>
      </c>
      <c r="L8" s="5">
        <v>131.96700000000001</v>
      </c>
      <c r="M8" s="5">
        <v>39.99</v>
      </c>
      <c r="N8" s="5">
        <v>3</v>
      </c>
      <c r="O8" s="5">
        <v>11.997</v>
      </c>
    </row>
    <row r="9" spans="1:15">
      <c r="A9" s="4">
        <v>1008</v>
      </c>
      <c r="B9" s="6">
        <v>45295</v>
      </c>
      <c r="C9" s="5" t="s">
        <v>68</v>
      </c>
      <c r="D9" s="6">
        <v>45300</v>
      </c>
      <c r="E9" s="5">
        <v>69.989999999999995</v>
      </c>
      <c r="F9" s="5">
        <v>2</v>
      </c>
      <c r="G9" s="5">
        <v>13.997999999999999</v>
      </c>
      <c r="H9" s="5">
        <v>153.97800000000001</v>
      </c>
      <c r="K9" s="6">
        <v>45295</v>
      </c>
      <c r="L9" s="5">
        <v>153.97800000000001</v>
      </c>
      <c r="M9" s="5">
        <v>69.989999999999995</v>
      </c>
      <c r="N9" s="5">
        <v>2</v>
      </c>
      <c r="O9" s="5">
        <v>13.997999999999999</v>
      </c>
    </row>
    <row r="10" spans="1:15">
      <c r="A10" s="4">
        <v>1009</v>
      </c>
      <c r="B10" s="6">
        <v>45296</v>
      </c>
      <c r="C10" s="5" t="s">
        <v>69</v>
      </c>
      <c r="D10" s="6">
        <v>45297</v>
      </c>
      <c r="E10" s="5">
        <v>89.99</v>
      </c>
      <c r="F10" s="5">
        <v>1</v>
      </c>
      <c r="G10" s="5">
        <v>8.9990000000000006</v>
      </c>
      <c r="H10" s="5">
        <v>98.989000000000004</v>
      </c>
      <c r="K10" s="6">
        <v>45296</v>
      </c>
      <c r="L10" s="5">
        <v>98.989000000000004</v>
      </c>
      <c r="M10" s="5">
        <v>89.99</v>
      </c>
      <c r="N10" s="5">
        <v>1</v>
      </c>
      <c r="O10" s="5">
        <v>8.9990000000000006</v>
      </c>
    </row>
    <row r="11" spans="1:15">
      <c r="A11" s="4">
        <v>1010</v>
      </c>
      <c r="B11" s="6">
        <v>45296</v>
      </c>
      <c r="C11" s="5" t="s">
        <v>70</v>
      </c>
      <c r="D11" s="6">
        <v>45299</v>
      </c>
      <c r="E11" s="5">
        <v>199.99</v>
      </c>
      <c r="F11" s="5">
        <v>1</v>
      </c>
      <c r="G11" s="5">
        <v>19.998999999999999</v>
      </c>
      <c r="H11" s="5">
        <v>219.989</v>
      </c>
      <c r="K11" s="6">
        <v>45296</v>
      </c>
      <c r="L11" s="5">
        <v>219.989</v>
      </c>
      <c r="M11" s="5">
        <v>199.99</v>
      </c>
      <c r="N11" s="5">
        <v>1</v>
      </c>
      <c r="O11" s="5">
        <v>19.998999999999999</v>
      </c>
    </row>
    <row r="12" spans="1:15">
      <c r="A12" s="4">
        <v>1011</v>
      </c>
      <c r="B12" s="6">
        <v>45297</v>
      </c>
      <c r="C12" s="5" t="s">
        <v>71</v>
      </c>
      <c r="D12" s="6">
        <v>45298</v>
      </c>
      <c r="E12" s="5">
        <v>29.99</v>
      </c>
      <c r="F12" s="5">
        <v>5</v>
      </c>
      <c r="G12" s="5">
        <v>14.994999999999999</v>
      </c>
      <c r="H12" s="5">
        <v>164.94499999999999</v>
      </c>
      <c r="K12" s="6">
        <v>45297</v>
      </c>
      <c r="L12" s="5">
        <v>164.94499999999999</v>
      </c>
      <c r="M12" s="5">
        <v>29.99</v>
      </c>
      <c r="N12" s="5">
        <v>5</v>
      </c>
      <c r="O12" s="5">
        <v>14.994999999999999</v>
      </c>
    </row>
    <row r="13" spans="1:15">
      <c r="A13" s="4">
        <v>1012</v>
      </c>
      <c r="B13" s="6">
        <v>45297</v>
      </c>
      <c r="C13" s="5" t="s">
        <v>72</v>
      </c>
      <c r="D13" s="6">
        <v>45299</v>
      </c>
      <c r="E13" s="5">
        <v>79.989999999999995</v>
      </c>
      <c r="F13" s="5">
        <v>2</v>
      </c>
      <c r="G13" s="5">
        <v>15.997999999999999</v>
      </c>
      <c r="H13" s="5">
        <v>175.97800000000001</v>
      </c>
      <c r="K13" s="6">
        <v>45297</v>
      </c>
      <c r="L13" s="5">
        <v>175.97800000000001</v>
      </c>
      <c r="M13" s="5">
        <v>79.989999999999995</v>
      </c>
      <c r="N13" s="5">
        <v>2</v>
      </c>
      <c r="O13" s="5">
        <v>15.997999999999999</v>
      </c>
    </row>
    <row r="14" spans="1:15">
      <c r="A14" s="4">
        <v>1013</v>
      </c>
      <c r="B14" s="6">
        <v>45298</v>
      </c>
      <c r="C14" s="5" t="s">
        <v>73</v>
      </c>
      <c r="D14" s="6">
        <v>45300</v>
      </c>
      <c r="E14" s="5">
        <v>49.99</v>
      </c>
      <c r="F14" s="5">
        <v>3</v>
      </c>
      <c r="G14" s="5">
        <v>14.997</v>
      </c>
      <c r="H14" s="5">
        <v>164.96700000000001</v>
      </c>
      <c r="K14" s="6">
        <v>45298</v>
      </c>
      <c r="L14" s="5">
        <v>164.96700000000001</v>
      </c>
      <c r="M14" s="5">
        <v>49.99</v>
      </c>
      <c r="N14" s="5">
        <v>3</v>
      </c>
      <c r="O14" s="5">
        <v>14.997</v>
      </c>
    </row>
    <row r="15" spans="1:15">
      <c r="A15" s="4">
        <v>1014</v>
      </c>
      <c r="B15" s="6">
        <v>45298</v>
      </c>
      <c r="C15" s="5" t="s">
        <v>74</v>
      </c>
      <c r="D15" s="6">
        <v>45303</v>
      </c>
      <c r="E15" s="5">
        <v>129.99</v>
      </c>
      <c r="F15" s="5">
        <v>1</v>
      </c>
      <c r="G15" s="5">
        <v>12.999000000000001</v>
      </c>
      <c r="H15" s="5">
        <v>142.989</v>
      </c>
      <c r="K15" s="6">
        <v>45298</v>
      </c>
      <c r="L15" s="5">
        <v>142.989</v>
      </c>
      <c r="M15" s="5">
        <v>129.99</v>
      </c>
      <c r="N15" s="5">
        <v>1</v>
      </c>
      <c r="O15" s="5">
        <v>12.999000000000001</v>
      </c>
    </row>
    <row r="16" spans="1:15">
      <c r="A16" s="4">
        <v>1015</v>
      </c>
      <c r="B16" s="6">
        <v>45299</v>
      </c>
      <c r="C16" s="5" t="s">
        <v>75</v>
      </c>
      <c r="D16" s="6">
        <v>45304</v>
      </c>
      <c r="E16" s="5">
        <v>19.989999999999998</v>
      </c>
      <c r="F16" s="5">
        <v>4</v>
      </c>
      <c r="G16" s="5">
        <v>7.9960000000000004</v>
      </c>
      <c r="H16" s="5">
        <v>87.956000000000003</v>
      </c>
      <c r="K16" s="6">
        <v>45299</v>
      </c>
      <c r="L16" s="5">
        <v>87.956000000000003</v>
      </c>
      <c r="M16" s="5">
        <v>19.989999999999998</v>
      </c>
      <c r="N16" s="5">
        <v>4</v>
      </c>
      <c r="O16" s="5">
        <v>7.9960000000000004</v>
      </c>
    </row>
    <row r="17" spans="1:15">
      <c r="A17" s="4">
        <v>1016</v>
      </c>
      <c r="B17" s="6">
        <v>45299</v>
      </c>
      <c r="C17" s="5" t="s">
        <v>76</v>
      </c>
      <c r="D17" s="6">
        <v>45303</v>
      </c>
      <c r="E17" s="5">
        <v>149.99</v>
      </c>
      <c r="F17" s="5">
        <v>1</v>
      </c>
      <c r="G17" s="5">
        <v>14.999000000000001</v>
      </c>
      <c r="H17" s="5">
        <v>164.989</v>
      </c>
      <c r="K17" s="6">
        <v>45299</v>
      </c>
      <c r="L17" s="5">
        <v>164.989</v>
      </c>
      <c r="M17" s="5">
        <v>149.99</v>
      </c>
      <c r="N17" s="5">
        <v>1</v>
      </c>
      <c r="O17" s="5">
        <v>14.999000000000001</v>
      </c>
    </row>
    <row r="18" spans="1:15">
      <c r="A18" s="4">
        <v>1017</v>
      </c>
      <c r="B18" s="6">
        <v>45300</v>
      </c>
      <c r="C18" s="5" t="s">
        <v>77</v>
      </c>
      <c r="D18" s="6">
        <v>45305</v>
      </c>
      <c r="E18" s="5">
        <v>69.989999999999995</v>
      </c>
      <c r="F18" s="5">
        <v>2</v>
      </c>
      <c r="G18" s="5">
        <v>13.997999999999999</v>
      </c>
      <c r="H18" s="5">
        <v>153.97800000000001</v>
      </c>
      <c r="K18" s="6">
        <v>45300</v>
      </c>
      <c r="L18" s="5">
        <v>153.97800000000001</v>
      </c>
      <c r="M18" s="5">
        <v>69.989999999999995</v>
      </c>
      <c r="N18" s="5">
        <v>2</v>
      </c>
      <c r="O18" s="5">
        <v>13.997999999999999</v>
      </c>
    </row>
    <row r="19" spans="1:15">
      <c r="A19" s="4">
        <v>1018</v>
      </c>
      <c r="B19" s="6">
        <v>45300</v>
      </c>
      <c r="C19" s="5" t="s">
        <v>78</v>
      </c>
      <c r="D19" s="6">
        <v>45303</v>
      </c>
      <c r="E19" s="5">
        <v>39.99</v>
      </c>
      <c r="F19" s="5">
        <v>3</v>
      </c>
      <c r="G19" s="5">
        <v>11.997</v>
      </c>
      <c r="H19" s="5">
        <v>131.96700000000001</v>
      </c>
      <c r="K19" s="6">
        <v>45300</v>
      </c>
      <c r="L19" s="5">
        <v>131.96700000000001</v>
      </c>
      <c r="M19" s="5">
        <v>39.99</v>
      </c>
      <c r="N19" s="5">
        <v>3</v>
      </c>
      <c r="O19" s="5">
        <v>11.997</v>
      </c>
    </row>
    <row r="20" spans="1:15">
      <c r="A20" s="4">
        <v>1019</v>
      </c>
      <c r="B20" s="6">
        <v>45301</v>
      </c>
      <c r="C20" s="5" t="s">
        <v>79</v>
      </c>
      <c r="D20" s="6">
        <v>45302</v>
      </c>
      <c r="E20" s="5">
        <v>199.99</v>
      </c>
      <c r="F20" s="5">
        <v>1</v>
      </c>
      <c r="G20" s="5">
        <v>19.998999999999999</v>
      </c>
      <c r="H20" s="5">
        <v>219.989</v>
      </c>
      <c r="K20" s="6">
        <v>45301</v>
      </c>
      <c r="L20" s="5">
        <v>219.989</v>
      </c>
      <c r="M20" s="5">
        <v>199.99</v>
      </c>
      <c r="N20" s="5">
        <v>1</v>
      </c>
      <c r="O20" s="5">
        <v>19.998999999999999</v>
      </c>
    </row>
    <row r="21" spans="1:15">
      <c r="A21" s="4">
        <v>1020</v>
      </c>
      <c r="B21" s="6">
        <v>45301</v>
      </c>
      <c r="C21" s="5" t="s">
        <v>80</v>
      </c>
      <c r="D21" s="6">
        <v>45305</v>
      </c>
      <c r="E21" s="5">
        <v>29.99</v>
      </c>
      <c r="F21" s="5">
        <v>5</v>
      </c>
      <c r="G21" s="5">
        <v>14.994999999999999</v>
      </c>
      <c r="H21" s="5">
        <v>164.94499999999999</v>
      </c>
      <c r="K21" s="6">
        <v>45301</v>
      </c>
      <c r="L21" s="5">
        <v>164.94499999999999</v>
      </c>
      <c r="M21" s="5">
        <v>29.99</v>
      </c>
      <c r="N21" s="5">
        <v>5</v>
      </c>
      <c r="O21" s="5">
        <v>14.994999999999999</v>
      </c>
    </row>
    <row r="22" spans="1:15">
      <c r="A22" s="4">
        <v>1021</v>
      </c>
      <c r="B22" s="6">
        <v>45302</v>
      </c>
      <c r="C22" s="5" t="s">
        <v>81</v>
      </c>
      <c r="D22" s="6">
        <v>45305</v>
      </c>
      <c r="E22" s="5">
        <v>79.989999999999995</v>
      </c>
      <c r="F22" s="5">
        <v>2</v>
      </c>
      <c r="G22" s="5">
        <v>15.997999999999999</v>
      </c>
      <c r="H22" s="5">
        <v>175.97800000000001</v>
      </c>
      <c r="K22" s="6">
        <v>45302</v>
      </c>
      <c r="L22" s="5">
        <v>175.97800000000001</v>
      </c>
      <c r="M22" s="5">
        <v>79.989999999999995</v>
      </c>
      <c r="N22" s="5">
        <v>2</v>
      </c>
      <c r="O22" s="5">
        <v>15.997999999999999</v>
      </c>
    </row>
    <row r="23" spans="1:15">
      <c r="A23" s="4">
        <v>1022</v>
      </c>
      <c r="B23" s="6">
        <v>45302</v>
      </c>
      <c r="C23" s="5" t="s">
        <v>82</v>
      </c>
      <c r="D23" s="6">
        <v>45306</v>
      </c>
      <c r="E23" s="5">
        <v>49.99</v>
      </c>
      <c r="F23" s="5">
        <v>3</v>
      </c>
      <c r="G23" s="5">
        <v>14.997</v>
      </c>
      <c r="H23" s="5">
        <v>164.96700000000001</v>
      </c>
      <c r="K23" s="6">
        <v>45302</v>
      </c>
      <c r="L23" s="5">
        <v>164.96700000000001</v>
      </c>
      <c r="M23" s="5">
        <v>49.99</v>
      </c>
      <c r="N23" s="5">
        <v>3</v>
      </c>
      <c r="O23" s="5">
        <v>14.997</v>
      </c>
    </row>
    <row r="24" spans="1:15">
      <c r="A24" s="4">
        <v>1023</v>
      </c>
      <c r="B24" s="6">
        <v>45303</v>
      </c>
      <c r="C24" s="5" t="s">
        <v>83</v>
      </c>
      <c r="D24" s="6">
        <v>45308</v>
      </c>
      <c r="E24" s="5">
        <v>129.99</v>
      </c>
      <c r="F24" s="5">
        <v>1</v>
      </c>
      <c r="G24" s="5">
        <v>12.999000000000001</v>
      </c>
      <c r="H24" s="5">
        <v>142.989</v>
      </c>
      <c r="K24" s="6">
        <v>45303</v>
      </c>
      <c r="L24" s="5">
        <v>142.989</v>
      </c>
      <c r="M24" s="5">
        <v>129.99</v>
      </c>
      <c r="N24" s="5">
        <v>1</v>
      </c>
      <c r="O24" s="5">
        <v>12.999000000000001</v>
      </c>
    </row>
    <row r="25" spans="1:15">
      <c r="A25" s="4">
        <v>1024</v>
      </c>
      <c r="B25" s="6">
        <v>45303</v>
      </c>
      <c r="C25" s="5" t="s">
        <v>84</v>
      </c>
      <c r="D25" s="6">
        <v>45308</v>
      </c>
      <c r="E25" s="5">
        <v>19.989999999999998</v>
      </c>
      <c r="F25" s="5">
        <v>4</v>
      </c>
      <c r="G25" s="5">
        <v>7.9960000000000004</v>
      </c>
      <c r="H25" s="5">
        <v>87.956000000000003</v>
      </c>
      <c r="K25" s="6">
        <v>45303</v>
      </c>
      <c r="L25" s="5">
        <v>87.956000000000003</v>
      </c>
      <c r="M25" s="5">
        <v>19.989999999999998</v>
      </c>
      <c r="N25" s="5">
        <v>4</v>
      </c>
      <c r="O25" s="5">
        <v>7.9960000000000004</v>
      </c>
    </row>
    <row r="26" spans="1:15">
      <c r="A26" s="4">
        <v>1025</v>
      </c>
      <c r="B26" s="6">
        <v>45304</v>
      </c>
      <c r="C26" s="5" t="s">
        <v>65</v>
      </c>
      <c r="D26" s="6">
        <v>45308</v>
      </c>
      <c r="E26" s="5">
        <v>149.99</v>
      </c>
      <c r="F26" s="5">
        <v>1</v>
      </c>
      <c r="G26" s="5">
        <v>14.999000000000001</v>
      </c>
      <c r="H26" s="5">
        <v>164.989</v>
      </c>
      <c r="K26" s="6">
        <v>45304</v>
      </c>
      <c r="L26" s="5">
        <v>164.989</v>
      </c>
      <c r="M26" s="5">
        <v>149.99</v>
      </c>
      <c r="N26" s="5">
        <v>1</v>
      </c>
      <c r="O26" s="5">
        <v>14.999000000000001</v>
      </c>
    </row>
    <row r="27" spans="1:15">
      <c r="A27" s="4">
        <v>1026</v>
      </c>
      <c r="B27" s="6">
        <v>45304</v>
      </c>
      <c r="C27" s="5" t="s">
        <v>85</v>
      </c>
      <c r="D27" s="6">
        <v>45305</v>
      </c>
      <c r="E27" s="5">
        <v>69.989999999999995</v>
      </c>
      <c r="F27" s="5">
        <v>2</v>
      </c>
      <c r="G27" s="5">
        <v>13.997999999999999</v>
      </c>
      <c r="H27" s="5">
        <v>153.97800000000001</v>
      </c>
      <c r="K27" s="6">
        <v>45304</v>
      </c>
      <c r="L27" s="5">
        <v>153.97800000000001</v>
      </c>
      <c r="M27" s="5">
        <v>69.989999999999995</v>
      </c>
      <c r="N27" s="5">
        <v>2</v>
      </c>
      <c r="O27" s="5">
        <v>13.997999999999999</v>
      </c>
    </row>
    <row r="28" spans="1:15">
      <c r="A28" s="4">
        <v>1027</v>
      </c>
      <c r="B28" s="6">
        <v>45305</v>
      </c>
      <c r="C28" s="5" t="s">
        <v>86</v>
      </c>
      <c r="D28" s="6">
        <v>45309</v>
      </c>
      <c r="E28" s="5">
        <v>39.99</v>
      </c>
      <c r="F28" s="5">
        <v>3</v>
      </c>
      <c r="G28" s="5">
        <v>11.997</v>
      </c>
      <c r="H28" s="5">
        <v>131.96700000000001</v>
      </c>
      <c r="K28" s="6">
        <v>45305</v>
      </c>
      <c r="L28" s="5">
        <v>131.96700000000001</v>
      </c>
      <c r="M28" s="5">
        <v>39.99</v>
      </c>
      <c r="N28" s="5">
        <v>3</v>
      </c>
      <c r="O28" s="5">
        <v>11.997</v>
      </c>
    </row>
    <row r="29" spans="1:15">
      <c r="A29" s="4">
        <v>1028</v>
      </c>
      <c r="B29" s="6">
        <v>45305</v>
      </c>
      <c r="C29" s="5" t="s">
        <v>87</v>
      </c>
      <c r="D29" s="6">
        <v>45310</v>
      </c>
      <c r="E29" s="5">
        <v>199.99</v>
      </c>
      <c r="F29" s="5">
        <v>1</v>
      </c>
      <c r="G29" s="5">
        <v>19.998999999999999</v>
      </c>
      <c r="H29" s="5">
        <v>219.989</v>
      </c>
      <c r="K29" s="6">
        <v>45305</v>
      </c>
      <c r="L29" s="5">
        <v>219.989</v>
      </c>
      <c r="M29" s="5">
        <v>199.99</v>
      </c>
      <c r="N29" s="5">
        <v>1</v>
      </c>
      <c r="O29" s="5">
        <v>19.998999999999999</v>
      </c>
    </row>
    <row r="30" spans="1:15">
      <c r="A30" s="4">
        <v>1029</v>
      </c>
      <c r="B30" s="6">
        <v>45306</v>
      </c>
      <c r="C30" s="5" t="s">
        <v>88</v>
      </c>
      <c r="D30" s="6">
        <v>45310</v>
      </c>
      <c r="E30" s="5">
        <v>29.99</v>
      </c>
      <c r="F30" s="5">
        <v>5</v>
      </c>
      <c r="G30" s="5">
        <v>14.994999999999999</v>
      </c>
      <c r="H30" s="5">
        <v>164.94499999999999</v>
      </c>
      <c r="K30" s="6">
        <v>45306</v>
      </c>
      <c r="L30" s="5">
        <v>164.94499999999999</v>
      </c>
      <c r="M30" s="5">
        <v>29.99</v>
      </c>
      <c r="N30" s="5">
        <v>5</v>
      </c>
      <c r="O30" s="5">
        <v>14.994999999999999</v>
      </c>
    </row>
    <row r="31" spans="1:15">
      <c r="A31" s="4">
        <v>1030</v>
      </c>
      <c r="B31" s="6">
        <v>45306</v>
      </c>
      <c r="C31" s="5" t="s">
        <v>89</v>
      </c>
      <c r="D31" s="6">
        <v>45310</v>
      </c>
      <c r="E31" s="5">
        <v>79.989999999999995</v>
      </c>
      <c r="F31" s="5">
        <v>2</v>
      </c>
      <c r="G31" s="5">
        <v>15.997999999999999</v>
      </c>
      <c r="H31" s="5">
        <v>175.97800000000001</v>
      </c>
      <c r="K31" s="6">
        <v>45306</v>
      </c>
      <c r="L31" s="5">
        <v>175.97800000000001</v>
      </c>
      <c r="M31" s="5">
        <v>79.989999999999995</v>
      </c>
      <c r="N31" s="5">
        <v>2</v>
      </c>
      <c r="O31" s="5">
        <v>15.997999999999999</v>
      </c>
    </row>
    <row r="32" spans="1:15">
      <c r="A32" s="4">
        <v>1031</v>
      </c>
      <c r="B32" s="6">
        <v>45307</v>
      </c>
      <c r="C32" s="5" t="s">
        <v>90</v>
      </c>
      <c r="D32" s="6">
        <v>45310</v>
      </c>
      <c r="E32" s="5">
        <v>49.99</v>
      </c>
      <c r="F32" s="5">
        <v>3</v>
      </c>
      <c r="G32" s="5">
        <v>14.997</v>
      </c>
      <c r="H32" s="5">
        <v>164.96700000000001</v>
      </c>
      <c r="K32" s="6">
        <v>45307</v>
      </c>
      <c r="L32" s="5">
        <v>164.96700000000001</v>
      </c>
      <c r="M32" s="5">
        <v>49.99</v>
      </c>
      <c r="N32" s="5">
        <v>3</v>
      </c>
      <c r="O32" s="5">
        <v>14.997</v>
      </c>
    </row>
    <row r="33" spans="1:15">
      <c r="A33" s="4">
        <v>1032</v>
      </c>
      <c r="B33" s="6">
        <v>45307</v>
      </c>
      <c r="C33" s="5" t="s">
        <v>91</v>
      </c>
      <c r="D33" s="6">
        <v>45308</v>
      </c>
      <c r="E33" s="5">
        <v>129.99</v>
      </c>
      <c r="F33" s="5">
        <v>1</v>
      </c>
      <c r="G33" s="5">
        <v>12.999000000000001</v>
      </c>
      <c r="H33" s="5">
        <v>142.989</v>
      </c>
      <c r="K33" s="6">
        <v>45307</v>
      </c>
      <c r="L33" s="5">
        <v>142.989</v>
      </c>
      <c r="M33" s="5">
        <v>129.99</v>
      </c>
      <c r="N33" s="5">
        <v>1</v>
      </c>
      <c r="O33" s="5">
        <v>12.999000000000001</v>
      </c>
    </row>
    <row r="34" spans="1:15">
      <c r="A34" s="4">
        <v>1033</v>
      </c>
      <c r="B34" s="6">
        <v>45308</v>
      </c>
      <c r="C34" s="5" t="s">
        <v>92</v>
      </c>
      <c r="D34" s="6">
        <v>45310</v>
      </c>
      <c r="E34" s="5">
        <v>19.989999999999998</v>
      </c>
      <c r="F34" s="5">
        <v>4</v>
      </c>
      <c r="G34" s="5">
        <v>7.9960000000000004</v>
      </c>
      <c r="H34" s="5">
        <v>87.956000000000003</v>
      </c>
      <c r="K34" s="6">
        <v>45308</v>
      </c>
      <c r="L34" s="5">
        <v>87.956000000000003</v>
      </c>
      <c r="M34" s="5">
        <v>19.989999999999998</v>
      </c>
      <c r="N34" s="5">
        <v>4</v>
      </c>
      <c r="O34" s="5">
        <v>7.9960000000000004</v>
      </c>
    </row>
    <row r="35" spans="1:15">
      <c r="A35" s="4">
        <v>1034</v>
      </c>
      <c r="B35" s="6">
        <v>45308</v>
      </c>
      <c r="C35" s="5" t="s">
        <v>93</v>
      </c>
      <c r="D35" s="6">
        <v>45310</v>
      </c>
      <c r="E35" s="5">
        <v>149.99</v>
      </c>
      <c r="F35" s="5">
        <v>1</v>
      </c>
      <c r="G35" s="5">
        <v>14.999000000000001</v>
      </c>
      <c r="H35" s="5">
        <v>164.989</v>
      </c>
      <c r="K35" s="6">
        <v>45308</v>
      </c>
      <c r="L35" s="5">
        <v>164.989</v>
      </c>
      <c r="M35" s="5">
        <v>149.99</v>
      </c>
      <c r="N35" s="5">
        <v>1</v>
      </c>
      <c r="O35" s="5">
        <v>14.999000000000001</v>
      </c>
    </row>
    <row r="36" spans="1:15">
      <c r="A36" s="4">
        <v>1035</v>
      </c>
      <c r="B36" s="6">
        <v>45309</v>
      </c>
      <c r="C36" s="5" t="s">
        <v>94</v>
      </c>
      <c r="D36" s="6">
        <v>45314</v>
      </c>
      <c r="E36" s="5">
        <v>69.989999999999995</v>
      </c>
      <c r="F36" s="5">
        <v>2</v>
      </c>
      <c r="G36" s="5">
        <v>13.997999999999999</v>
      </c>
      <c r="H36" s="5">
        <v>153.97800000000001</v>
      </c>
      <c r="K36" s="6">
        <v>45309</v>
      </c>
      <c r="L36" s="5">
        <v>153.97800000000001</v>
      </c>
      <c r="M36" s="5">
        <v>69.989999999999995</v>
      </c>
      <c r="N36" s="5">
        <v>2</v>
      </c>
      <c r="O36" s="5">
        <v>13.997999999999999</v>
      </c>
    </row>
    <row r="37" spans="1:15">
      <c r="A37" s="4">
        <v>1036</v>
      </c>
      <c r="B37" s="6">
        <v>45309</v>
      </c>
      <c r="C37" s="5" t="s">
        <v>95</v>
      </c>
      <c r="D37" s="6">
        <v>45310</v>
      </c>
      <c r="E37" s="5">
        <v>39.99</v>
      </c>
      <c r="F37" s="5">
        <v>3</v>
      </c>
      <c r="G37" s="5">
        <v>11.997</v>
      </c>
      <c r="H37" s="5">
        <v>131.96700000000001</v>
      </c>
      <c r="K37" s="6">
        <v>45309</v>
      </c>
      <c r="L37" s="5">
        <v>131.96700000000001</v>
      </c>
      <c r="M37" s="5">
        <v>39.99</v>
      </c>
      <c r="N37" s="5">
        <v>3</v>
      </c>
      <c r="O37" s="5">
        <v>11.997</v>
      </c>
    </row>
    <row r="38" spans="1:15">
      <c r="A38" s="4">
        <v>1037</v>
      </c>
      <c r="B38" s="6">
        <v>45310</v>
      </c>
      <c r="C38" s="5" t="s">
        <v>96</v>
      </c>
      <c r="D38" s="6">
        <v>45311</v>
      </c>
      <c r="E38" s="5">
        <v>199.99</v>
      </c>
      <c r="F38" s="5">
        <v>1</v>
      </c>
      <c r="G38" s="5">
        <v>19.998999999999999</v>
      </c>
      <c r="H38" s="5">
        <v>219.989</v>
      </c>
      <c r="K38" s="6">
        <v>45310</v>
      </c>
      <c r="L38" s="5">
        <v>219.989</v>
      </c>
      <c r="M38" s="5">
        <v>199.99</v>
      </c>
      <c r="N38" s="5">
        <v>1</v>
      </c>
      <c r="O38" s="5">
        <v>19.998999999999999</v>
      </c>
    </row>
    <row r="39" spans="1:15">
      <c r="A39" s="4">
        <v>1038</v>
      </c>
      <c r="B39" s="6">
        <v>45310</v>
      </c>
      <c r="C39" s="5" t="s">
        <v>97</v>
      </c>
      <c r="D39" s="6">
        <v>45313</v>
      </c>
      <c r="E39" s="5">
        <v>29.99</v>
      </c>
      <c r="F39" s="5">
        <v>5</v>
      </c>
      <c r="G39" s="5">
        <v>14.994999999999999</v>
      </c>
      <c r="H39" s="5">
        <v>164.94499999999999</v>
      </c>
      <c r="K39" s="6">
        <v>45310</v>
      </c>
      <c r="L39" s="5">
        <v>164.94499999999999</v>
      </c>
      <c r="M39" s="5">
        <v>29.99</v>
      </c>
      <c r="N39" s="5">
        <v>5</v>
      </c>
      <c r="O39" s="5">
        <v>14.994999999999999</v>
      </c>
    </row>
    <row r="40" spans="1:15">
      <c r="A40" s="4">
        <v>1039</v>
      </c>
      <c r="B40" s="6">
        <v>45311</v>
      </c>
      <c r="C40" s="5" t="s">
        <v>63</v>
      </c>
      <c r="D40" s="6">
        <v>45315</v>
      </c>
      <c r="E40" s="5">
        <v>79.989999999999995</v>
      </c>
      <c r="F40" s="5">
        <v>2</v>
      </c>
      <c r="G40" s="5">
        <v>15.997999999999999</v>
      </c>
      <c r="H40" s="5">
        <v>175.97800000000001</v>
      </c>
      <c r="K40" s="6">
        <v>45311</v>
      </c>
      <c r="L40" s="5">
        <v>175.97800000000001</v>
      </c>
      <c r="M40" s="5">
        <v>79.989999999999995</v>
      </c>
      <c r="N40" s="5">
        <v>2</v>
      </c>
      <c r="O40" s="5">
        <v>15.997999999999999</v>
      </c>
    </row>
    <row r="41" spans="1:15">
      <c r="A41" s="4">
        <v>1040</v>
      </c>
      <c r="B41" s="6">
        <v>45311</v>
      </c>
      <c r="C41" s="5" t="s">
        <v>84</v>
      </c>
      <c r="D41" s="6">
        <v>45312</v>
      </c>
      <c r="E41" s="5">
        <v>49.99</v>
      </c>
      <c r="F41" s="5">
        <v>3</v>
      </c>
      <c r="G41" s="5">
        <v>14.997</v>
      </c>
      <c r="H41" s="5">
        <v>164.96700000000001</v>
      </c>
      <c r="K41" s="6">
        <v>45311</v>
      </c>
      <c r="L41" s="5">
        <v>164.96700000000001</v>
      </c>
      <c r="M41" s="5">
        <v>49.99</v>
      </c>
      <c r="N41" s="5">
        <v>3</v>
      </c>
      <c r="O41" s="5">
        <v>14.997</v>
      </c>
    </row>
    <row r="42" spans="1:15">
      <c r="A42" s="4">
        <v>1041</v>
      </c>
      <c r="B42" s="6">
        <v>45312</v>
      </c>
      <c r="C42" s="5" t="s">
        <v>65</v>
      </c>
      <c r="D42" s="6">
        <v>45317</v>
      </c>
      <c r="E42" s="5">
        <v>129.99</v>
      </c>
      <c r="F42" s="5">
        <v>1</v>
      </c>
      <c r="G42" s="5">
        <v>12.999000000000001</v>
      </c>
      <c r="H42" s="5">
        <v>142.989</v>
      </c>
      <c r="K42" s="6">
        <v>45312</v>
      </c>
      <c r="L42" s="5">
        <v>142.989</v>
      </c>
      <c r="M42" s="5">
        <v>129.99</v>
      </c>
      <c r="N42" s="5">
        <v>1</v>
      </c>
      <c r="O42" s="5">
        <v>12.999000000000001</v>
      </c>
    </row>
    <row r="43" spans="1:15">
      <c r="A43" s="4">
        <v>1042</v>
      </c>
      <c r="B43" s="6">
        <v>45312</v>
      </c>
      <c r="C43" s="5" t="s">
        <v>98</v>
      </c>
      <c r="D43" s="6">
        <v>45314</v>
      </c>
      <c r="E43" s="5">
        <v>19.989999999999998</v>
      </c>
      <c r="F43" s="5">
        <v>4</v>
      </c>
      <c r="G43" s="5">
        <v>7.9960000000000004</v>
      </c>
      <c r="H43" s="5">
        <v>87.956000000000003</v>
      </c>
      <c r="K43" s="6">
        <v>45312</v>
      </c>
      <c r="L43" s="5">
        <v>87.956000000000003</v>
      </c>
      <c r="M43" s="5">
        <v>19.989999999999998</v>
      </c>
      <c r="N43" s="5">
        <v>4</v>
      </c>
      <c r="O43" s="5">
        <v>7.9960000000000004</v>
      </c>
    </row>
    <row r="44" spans="1:15">
      <c r="A44" s="4">
        <v>1043</v>
      </c>
      <c r="B44" s="6">
        <v>45313</v>
      </c>
      <c r="C44" s="5" t="s">
        <v>99</v>
      </c>
      <c r="D44" s="6">
        <v>45316</v>
      </c>
      <c r="E44" s="5">
        <v>149.99</v>
      </c>
      <c r="F44" s="5">
        <v>1</v>
      </c>
      <c r="G44" s="5">
        <v>14.999000000000001</v>
      </c>
      <c r="H44" s="5">
        <v>164.989</v>
      </c>
      <c r="K44" s="6">
        <v>45313</v>
      </c>
      <c r="L44" s="5">
        <v>164.989</v>
      </c>
      <c r="M44" s="5">
        <v>149.99</v>
      </c>
      <c r="N44" s="5">
        <v>1</v>
      </c>
      <c r="O44" s="5">
        <v>14.999000000000001</v>
      </c>
    </row>
    <row r="45" spans="1:15">
      <c r="A45" s="4">
        <v>1044</v>
      </c>
      <c r="B45" s="6">
        <v>45313</v>
      </c>
      <c r="C45" s="5" t="s">
        <v>64</v>
      </c>
      <c r="D45" s="6">
        <v>45316</v>
      </c>
      <c r="E45" s="5">
        <v>69.989999999999995</v>
      </c>
      <c r="F45" s="5">
        <v>2</v>
      </c>
      <c r="G45" s="5">
        <v>13.997999999999999</v>
      </c>
      <c r="H45" s="5">
        <v>153.97800000000001</v>
      </c>
      <c r="K45" s="6">
        <v>45313</v>
      </c>
      <c r="L45" s="5">
        <v>153.97800000000001</v>
      </c>
      <c r="M45" s="5">
        <v>69.989999999999995</v>
      </c>
      <c r="N45" s="5">
        <v>2</v>
      </c>
      <c r="O45" s="5">
        <v>13.997999999999999</v>
      </c>
    </row>
    <row r="46" spans="1:15">
      <c r="A46" s="4">
        <v>1045</v>
      </c>
      <c r="B46" s="6">
        <v>45314</v>
      </c>
      <c r="C46" s="5" t="s">
        <v>100</v>
      </c>
      <c r="D46" s="6">
        <v>45318</v>
      </c>
      <c r="E46" s="5">
        <v>39.99</v>
      </c>
      <c r="F46" s="5">
        <v>3</v>
      </c>
      <c r="G46" s="5">
        <v>11.997</v>
      </c>
      <c r="H46" s="5">
        <v>131.96700000000001</v>
      </c>
      <c r="K46" s="6">
        <v>45314</v>
      </c>
      <c r="L46" s="5">
        <v>131.96700000000001</v>
      </c>
      <c r="M46" s="5">
        <v>39.99</v>
      </c>
      <c r="N46" s="5">
        <v>3</v>
      </c>
      <c r="O46" s="5">
        <v>11.997</v>
      </c>
    </row>
    <row r="47" spans="1:15">
      <c r="A47" s="4">
        <v>1046</v>
      </c>
      <c r="B47" s="6">
        <v>45314</v>
      </c>
      <c r="C47" s="5" t="s">
        <v>80</v>
      </c>
      <c r="D47" s="6">
        <v>45317</v>
      </c>
      <c r="E47" s="5">
        <v>199.99</v>
      </c>
      <c r="F47" s="5">
        <v>1</v>
      </c>
      <c r="G47" s="5">
        <v>19.998999999999999</v>
      </c>
      <c r="H47" s="5">
        <v>219.989</v>
      </c>
      <c r="K47" s="6">
        <v>45314</v>
      </c>
      <c r="L47" s="5">
        <v>219.989</v>
      </c>
      <c r="M47" s="5">
        <v>199.99</v>
      </c>
      <c r="N47" s="5">
        <v>1</v>
      </c>
      <c r="O47" s="5">
        <v>19.998999999999999</v>
      </c>
    </row>
    <row r="48" spans="1:15">
      <c r="A48" s="4">
        <v>1047</v>
      </c>
      <c r="B48" s="6">
        <v>45315</v>
      </c>
      <c r="C48" s="5" t="s">
        <v>101</v>
      </c>
      <c r="D48" s="6">
        <v>45316</v>
      </c>
      <c r="E48" s="5">
        <v>29.99</v>
      </c>
      <c r="F48" s="5">
        <v>5</v>
      </c>
      <c r="G48" s="5">
        <v>14.994999999999999</v>
      </c>
      <c r="H48" s="5">
        <v>164.94499999999999</v>
      </c>
      <c r="K48" s="6">
        <v>45315</v>
      </c>
      <c r="L48" s="5">
        <v>164.94499999999999</v>
      </c>
      <c r="M48" s="5">
        <v>29.99</v>
      </c>
      <c r="N48" s="5">
        <v>5</v>
      </c>
      <c r="O48" s="5">
        <v>14.994999999999999</v>
      </c>
    </row>
    <row r="49" spans="1:15">
      <c r="A49" s="4">
        <v>1048</v>
      </c>
      <c r="B49" s="6">
        <v>45315</v>
      </c>
      <c r="C49" s="5" t="s">
        <v>102</v>
      </c>
      <c r="D49" s="6">
        <v>45317</v>
      </c>
      <c r="E49" s="5">
        <v>79.989999999999995</v>
      </c>
      <c r="F49" s="5">
        <v>2</v>
      </c>
      <c r="G49" s="5">
        <v>15.997999999999999</v>
      </c>
      <c r="H49" s="5">
        <v>175.97800000000001</v>
      </c>
      <c r="K49" s="6">
        <v>45315</v>
      </c>
      <c r="L49" s="5">
        <v>175.97800000000001</v>
      </c>
      <c r="M49" s="5">
        <v>79.989999999999995</v>
      </c>
      <c r="N49" s="5">
        <v>2</v>
      </c>
      <c r="O49" s="5">
        <v>15.997999999999999</v>
      </c>
    </row>
    <row r="50" spans="1:15">
      <c r="A50" s="4">
        <v>1049</v>
      </c>
      <c r="B50" s="6">
        <v>45316</v>
      </c>
      <c r="C50" s="5" t="s">
        <v>103</v>
      </c>
      <c r="D50" s="6">
        <v>45321</v>
      </c>
      <c r="E50" s="5">
        <v>49.99</v>
      </c>
      <c r="F50" s="5">
        <v>3</v>
      </c>
      <c r="G50" s="5">
        <v>14.997</v>
      </c>
      <c r="H50" s="5">
        <v>164.96700000000001</v>
      </c>
      <c r="K50" s="6">
        <v>45316</v>
      </c>
      <c r="L50" s="5">
        <v>164.96700000000001</v>
      </c>
      <c r="M50" s="5">
        <v>49.99</v>
      </c>
      <c r="N50" s="5">
        <v>3</v>
      </c>
      <c r="O50" s="5">
        <v>14.997</v>
      </c>
    </row>
    <row r="51" spans="1:15">
      <c r="A51" s="4">
        <v>1050</v>
      </c>
      <c r="B51" s="6">
        <v>45316</v>
      </c>
      <c r="C51" s="5" t="s">
        <v>104</v>
      </c>
      <c r="D51" s="6">
        <v>45318</v>
      </c>
      <c r="E51" s="5">
        <v>129.99</v>
      </c>
      <c r="F51" s="5">
        <v>1</v>
      </c>
      <c r="G51" s="5">
        <v>12.999000000000001</v>
      </c>
      <c r="H51" s="5">
        <v>142.989</v>
      </c>
      <c r="K51" s="6">
        <v>45316</v>
      </c>
      <c r="L51" s="5">
        <v>142.989</v>
      </c>
      <c r="M51" s="5">
        <v>129.99</v>
      </c>
      <c r="N51" s="5">
        <v>1</v>
      </c>
      <c r="O51" s="5">
        <v>12.999000000000001</v>
      </c>
    </row>
    <row r="52" spans="1:15">
      <c r="A52" s="4">
        <v>1051</v>
      </c>
      <c r="B52" s="6">
        <v>45317</v>
      </c>
      <c r="C52" s="5" t="s">
        <v>105</v>
      </c>
      <c r="D52" s="6">
        <v>45320</v>
      </c>
      <c r="E52" s="5">
        <v>19.989999999999998</v>
      </c>
      <c r="F52" s="5">
        <v>4</v>
      </c>
      <c r="G52" s="5">
        <v>7.9960000000000004</v>
      </c>
      <c r="H52" s="5">
        <v>87.956000000000003</v>
      </c>
      <c r="K52" s="6">
        <v>45317</v>
      </c>
      <c r="L52" s="5">
        <v>87.956000000000003</v>
      </c>
      <c r="M52" s="5">
        <v>19.989999999999998</v>
      </c>
      <c r="N52" s="5">
        <v>4</v>
      </c>
      <c r="O52" s="5">
        <v>7.9960000000000004</v>
      </c>
    </row>
    <row r="53" spans="1:15">
      <c r="A53" s="4">
        <v>1052</v>
      </c>
      <c r="B53" s="6">
        <v>45317</v>
      </c>
      <c r="C53" s="5" t="s">
        <v>106</v>
      </c>
      <c r="D53" s="6">
        <v>45319</v>
      </c>
      <c r="E53" s="5">
        <v>149.99</v>
      </c>
      <c r="F53" s="5">
        <v>1</v>
      </c>
      <c r="G53" s="5">
        <v>14.999000000000001</v>
      </c>
      <c r="H53" s="5">
        <v>164.989</v>
      </c>
      <c r="K53" s="6">
        <v>45317</v>
      </c>
      <c r="L53" s="5">
        <v>164.989</v>
      </c>
      <c r="M53" s="5">
        <v>149.99</v>
      </c>
      <c r="N53" s="5">
        <v>1</v>
      </c>
      <c r="O53" s="5">
        <v>14.999000000000001</v>
      </c>
    </row>
    <row r="54" spans="1:15">
      <c r="A54" s="4">
        <v>1053</v>
      </c>
      <c r="B54" s="6">
        <v>45318</v>
      </c>
      <c r="C54" s="5" t="s">
        <v>107</v>
      </c>
      <c r="D54" s="6">
        <v>45322</v>
      </c>
      <c r="E54" s="5">
        <v>69.989999999999995</v>
      </c>
      <c r="F54" s="5">
        <v>2</v>
      </c>
      <c r="G54" s="5">
        <v>13.997999999999999</v>
      </c>
      <c r="H54" s="5">
        <v>153.97800000000001</v>
      </c>
      <c r="K54" s="6">
        <v>45318</v>
      </c>
      <c r="L54" s="5">
        <v>153.97800000000001</v>
      </c>
      <c r="M54" s="5">
        <v>69.989999999999995</v>
      </c>
      <c r="N54" s="5">
        <v>2</v>
      </c>
      <c r="O54" s="5">
        <v>13.997999999999999</v>
      </c>
    </row>
    <row r="55" spans="1:15">
      <c r="A55" s="4">
        <v>1054</v>
      </c>
      <c r="B55" s="6">
        <v>45318</v>
      </c>
      <c r="C55" s="5" t="s">
        <v>108</v>
      </c>
      <c r="D55" s="6">
        <v>45322</v>
      </c>
      <c r="E55" s="5">
        <v>39.99</v>
      </c>
      <c r="F55" s="5">
        <v>3</v>
      </c>
      <c r="G55" s="5">
        <v>11.997</v>
      </c>
      <c r="H55" s="5">
        <v>131.96700000000001</v>
      </c>
      <c r="K55" s="6">
        <v>45318</v>
      </c>
      <c r="L55" s="5">
        <v>131.96700000000001</v>
      </c>
      <c r="M55" s="5">
        <v>39.99</v>
      </c>
      <c r="N55" s="5">
        <v>3</v>
      </c>
      <c r="O55" s="5">
        <v>11.997</v>
      </c>
    </row>
    <row r="56" spans="1:15">
      <c r="A56" s="4">
        <v>1055</v>
      </c>
      <c r="B56" s="6">
        <v>45319</v>
      </c>
      <c r="C56" s="5" t="s">
        <v>109</v>
      </c>
      <c r="D56" s="6">
        <v>45320</v>
      </c>
      <c r="E56" s="5">
        <v>199.99</v>
      </c>
      <c r="F56" s="5">
        <v>1</v>
      </c>
      <c r="G56" s="5">
        <v>19.998999999999999</v>
      </c>
      <c r="H56" s="5">
        <v>219.989</v>
      </c>
      <c r="K56" s="6">
        <v>45319</v>
      </c>
      <c r="L56" s="5">
        <v>219.989</v>
      </c>
      <c r="M56" s="5">
        <v>199.99</v>
      </c>
      <c r="N56" s="5">
        <v>1</v>
      </c>
      <c r="O56" s="5">
        <v>19.998999999999999</v>
      </c>
    </row>
    <row r="57" spans="1:15">
      <c r="A57" s="4">
        <v>1056</v>
      </c>
      <c r="B57" s="6">
        <v>45319</v>
      </c>
      <c r="C57" s="5" t="s">
        <v>110</v>
      </c>
      <c r="D57" s="6">
        <v>45320</v>
      </c>
      <c r="E57" s="5">
        <v>29.99</v>
      </c>
      <c r="F57" s="5">
        <v>5</v>
      </c>
      <c r="G57" s="5">
        <v>14.994999999999999</v>
      </c>
      <c r="H57" s="5">
        <v>164.94499999999999</v>
      </c>
      <c r="K57" s="6">
        <v>45319</v>
      </c>
      <c r="L57" s="5">
        <v>164.94499999999999</v>
      </c>
      <c r="M57" s="5">
        <v>29.99</v>
      </c>
      <c r="N57" s="5">
        <v>5</v>
      </c>
      <c r="O57" s="5">
        <v>14.994999999999999</v>
      </c>
    </row>
    <row r="58" spans="1:15">
      <c r="A58" s="4">
        <v>1057</v>
      </c>
      <c r="B58" s="6">
        <v>45320</v>
      </c>
      <c r="C58" s="5" t="s">
        <v>111</v>
      </c>
      <c r="D58" s="6">
        <v>45321</v>
      </c>
      <c r="E58" s="5">
        <v>79.989999999999995</v>
      </c>
      <c r="F58" s="5">
        <v>2</v>
      </c>
      <c r="G58" s="5">
        <v>15.997999999999999</v>
      </c>
      <c r="H58" s="5">
        <v>175.97800000000001</v>
      </c>
      <c r="K58" s="6">
        <v>45320</v>
      </c>
      <c r="L58" s="5">
        <v>175.97800000000001</v>
      </c>
      <c r="M58" s="5">
        <v>79.989999999999995</v>
      </c>
      <c r="N58" s="5">
        <v>2</v>
      </c>
      <c r="O58" s="5">
        <v>15.997999999999999</v>
      </c>
    </row>
    <row r="59" spans="1:15">
      <c r="A59" s="4">
        <v>1058</v>
      </c>
      <c r="B59" s="6">
        <v>45320</v>
      </c>
      <c r="C59" s="5" t="s">
        <v>98</v>
      </c>
      <c r="D59" s="6">
        <v>45322</v>
      </c>
      <c r="E59" s="5">
        <v>49.99</v>
      </c>
      <c r="F59" s="5">
        <v>3</v>
      </c>
      <c r="G59" s="5">
        <v>14.997</v>
      </c>
      <c r="H59" s="5">
        <v>164.96700000000001</v>
      </c>
      <c r="K59" s="6">
        <v>45320</v>
      </c>
      <c r="L59" s="5">
        <v>164.96700000000001</v>
      </c>
      <c r="M59" s="5">
        <v>49.99</v>
      </c>
      <c r="N59" s="5">
        <v>3</v>
      </c>
      <c r="O59" s="5">
        <v>14.997</v>
      </c>
    </row>
    <row r="60" spans="1:15">
      <c r="A60" s="4">
        <v>1059</v>
      </c>
      <c r="B60" s="6">
        <v>45321</v>
      </c>
      <c r="C60" s="5" t="s">
        <v>99</v>
      </c>
      <c r="D60" s="6">
        <v>45322</v>
      </c>
      <c r="E60" s="5">
        <v>129.99</v>
      </c>
      <c r="F60" s="5">
        <v>1</v>
      </c>
      <c r="G60" s="5">
        <v>12.999000000000001</v>
      </c>
      <c r="H60" s="5">
        <v>142.989</v>
      </c>
      <c r="K60" s="6">
        <v>45321</v>
      </c>
      <c r="L60" s="5">
        <v>142.989</v>
      </c>
      <c r="M60" s="5">
        <v>129.99</v>
      </c>
      <c r="N60" s="5">
        <v>1</v>
      </c>
      <c r="O60" s="5">
        <v>12.999000000000001</v>
      </c>
    </row>
    <row r="61" spans="1:15">
      <c r="A61" s="4">
        <v>1060</v>
      </c>
      <c r="B61" s="6">
        <v>45321</v>
      </c>
      <c r="C61" s="5" t="s">
        <v>64</v>
      </c>
      <c r="D61" s="6">
        <v>45323</v>
      </c>
      <c r="E61" s="5">
        <v>19.989999999999998</v>
      </c>
      <c r="F61" s="5">
        <v>4</v>
      </c>
      <c r="G61" s="5">
        <v>7.9960000000000004</v>
      </c>
      <c r="H61" s="5">
        <v>87.956000000000003</v>
      </c>
      <c r="K61" s="6">
        <v>45321</v>
      </c>
      <c r="L61" s="5">
        <v>87.956000000000003</v>
      </c>
      <c r="M61" s="5">
        <v>19.989999999999998</v>
      </c>
      <c r="N61" s="5">
        <v>4</v>
      </c>
      <c r="O61" s="5">
        <v>7.9960000000000004</v>
      </c>
    </row>
    <row r="62" spans="1:15">
      <c r="A62" s="4">
        <v>1061</v>
      </c>
      <c r="B62" s="6">
        <v>45322</v>
      </c>
      <c r="C62" s="5" t="s">
        <v>100</v>
      </c>
      <c r="D62" s="6">
        <v>45324</v>
      </c>
      <c r="E62" s="5">
        <v>149.99</v>
      </c>
      <c r="F62" s="5">
        <v>1</v>
      </c>
      <c r="G62" s="5">
        <v>14.999000000000001</v>
      </c>
      <c r="H62" s="5">
        <v>164.989</v>
      </c>
      <c r="K62" s="6">
        <v>45322</v>
      </c>
      <c r="L62" s="5">
        <v>164.989</v>
      </c>
      <c r="M62" s="5">
        <v>149.99</v>
      </c>
      <c r="N62" s="5">
        <v>1</v>
      </c>
      <c r="O62" s="5">
        <v>14.999000000000001</v>
      </c>
    </row>
    <row r="63" spans="1:15">
      <c r="A63" s="4">
        <v>1062</v>
      </c>
      <c r="B63" s="6">
        <v>45322</v>
      </c>
      <c r="C63" s="5" t="s">
        <v>80</v>
      </c>
      <c r="D63" s="6">
        <v>45326</v>
      </c>
      <c r="E63" s="5">
        <v>69.989999999999995</v>
      </c>
      <c r="F63" s="5">
        <v>2</v>
      </c>
      <c r="G63" s="5">
        <v>13.997999999999999</v>
      </c>
      <c r="H63" s="5">
        <v>153.97800000000001</v>
      </c>
      <c r="K63" s="6">
        <v>45322</v>
      </c>
      <c r="L63" s="5">
        <v>153.97800000000001</v>
      </c>
      <c r="M63" s="5">
        <v>69.989999999999995</v>
      </c>
      <c r="N63" s="5">
        <v>2</v>
      </c>
      <c r="O63" s="5">
        <v>13.997999999999999</v>
      </c>
    </row>
    <row r="64" spans="1:15">
      <c r="A64" s="4">
        <v>1063</v>
      </c>
      <c r="B64" s="6">
        <v>45323</v>
      </c>
      <c r="C64" s="5" t="s">
        <v>101</v>
      </c>
      <c r="D64" s="6">
        <v>45324</v>
      </c>
      <c r="E64" s="5">
        <v>39.99</v>
      </c>
      <c r="F64" s="5">
        <v>3</v>
      </c>
      <c r="G64" s="5">
        <v>11.997</v>
      </c>
      <c r="H64" s="5">
        <v>131.96700000000001</v>
      </c>
      <c r="K64" s="6">
        <v>45323</v>
      </c>
      <c r="L64" s="5">
        <v>131.96700000000001</v>
      </c>
      <c r="M64" s="5">
        <v>39.99</v>
      </c>
      <c r="N64" s="5">
        <v>3</v>
      </c>
      <c r="O64" s="5">
        <v>11.997</v>
      </c>
    </row>
    <row r="65" spans="1:15">
      <c r="A65" s="4">
        <v>1064</v>
      </c>
      <c r="B65" s="6">
        <v>45323</v>
      </c>
      <c r="C65" s="5" t="s">
        <v>102</v>
      </c>
      <c r="D65" s="6">
        <v>45327</v>
      </c>
      <c r="E65" s="5">
        <v>199.99</v>
      </c>
      <c r="F65" s="5">
        <v>1</v>
      </c>
      <c r="G65" s="5">
        <v>19.998999999999999</v>
      </c>
      <c r="H65" s="5">
        <v>219.989</v>
      </c>
      <c r="K65" s="6">
        <v>45323</v>
      </c>
      <c r="L65" s="5">
        <v>219.989</v>
      </c>
      <c r="M65" s="5">
        <v>199.99</v>
      </c>
      <c r="N65" s="5">
        <v>1</v>
      </c>
      <c r="O65" s="5">
        <v>19.998999999999999</v>
      </c>
    </row>
    <row r="66" spans="1:15">
      <c r="A66" s="4">
        <v>1065</v>
      </c>
      <c r="B66" s="6">
        <v>45323</v>
      </c>
      <c r="C66" s="5" t="s">
        <v>103</v>
      </c>
      <c r="D66" s="6">
        <v>45325</v>
      </c>
      <c r="E66" s="5">
        <v>29.99</v>
      </c>
      <c r="F66" s="5">
        <v>5</v>
      </c>
      <c r="G66" s="5">
        <v>14.994999999999999</v>
      </c>
      <c r="H66" s="5">
        <v>164.94499999999999</v>
      </c>
      <c r="K66" s="6">
        <v>45323</v>
      </c>
      <c r="L66" s="5">
        <v>164.94499999999999</v>
      </c>
      <c r="M66" s="5">
        <v>29.99</v>
      </c>
      <c r="N66" s="5">
        <v>5</v>
      </c>
      <c r="O66" s="5">
        <v>14.994999999999999</v>
      </c>
    </row>
    <row r="67" spans="1:15">
      <c r="A67" s="4">
        <v>1066</v>
      </c>
      <c r="B67" s="6">
        <v>45324</v>
      </c>
      <c r="C67" s="5" t="s">
        <v>104</v>
      </c>
      <c r="D67" s="6">
        <v>45328</v>
      </c>
      <c r="E67" s="5">
        <v>79.989999999999995</v>
      </c>
      <c r="F67" s="5">
        <v>2</v>
      </c>
      <c r="G67" s="5">
        <v>15.997999999999999</v>
      </c>
      <c r="H67" s="5">
        <v>175.97800000000001</v>
      </c>
      <c r="K67" s="6">
        <v>45324</v>
      </c>
      <c r="L67" s="5">
        <v>175.97800000000001</v>
      </c>
      <c r="M67" s="5">
        <v>79.989999999999995</v>
      </c>
      <c r="N67" s="5">
        <v>2</v>
      </c>
      <c r="O67" s="5">
        <v>15.997999999999999</v>
      </c>
    </row>
    <row r="68" spans="1:15">
      <c r="A68" s="4">
        <v>1067</v>
      </c>
      <c r="B68" s="6">
        <v>45325</v>
      </c>
      <c r="C68" s="5" t="s">
        <v>105</v>
      </c>
      <c r="D68" s="6">
        <v>45328</v>
      </c>
      <c r="E68" s="5">
        <v>49.99</v>
      </c>
      <c r="F68" s="5">
        <v>3</v>
      </c>
      <c r="G68" s="5">
        <v>14.997</v>
      </c>
      <c r="H68" s="5">
        <v>164.96700000000001</v>
      </c>
      <c r="K68" s="6">
        <v>45325</v>
      </c>
      <c r="L68" s="5">
        <v>164.96700000000001</v>
      </c>
      <c r="M68" s="5">
        <v>49.99</v>
      </c>
      <c r="N68" s="5">
        <v>3</v>
      </c>
      <c r="O68" s="5">
        <v>14.997</v>
      </c>
    </row>
    <row r="69" spans="1:15">
      <c r="A69" s="4">
        <v>1068</v>
      </c>
      <c r="B69" s="6">
        <v>45326</v>
      </c>
      <c r="C69" s="5" t="s">
        <v>106</v>
      </c>
      <c r="D69" s="6">
        <v>45327</v>
      </c>
      <c r="E69" s="5">
        <v>129.99</v>
      </c>
      <c r="F69" s="5">
        <v>1</v>
      </c>
      <c r="G69" s="5">
        <v>12.999000000000001</v>
      </c>
      <c r="H69" s="5">
        <v>142.989</v>
      </c>
      <c r="K69" s="6">
        <v>45326</v>
      </c>
      <c r="L69" s="5">
        <v>142.989</v>
      </c>
      <c r="M69" s="5">
        <v>129.99</v>
      </c>
      <c r="N69" s="5">
        <v>1</v>
      </c>
      <c r="O69" s="5">
        <v>12.999000000000001</v>
      </c>
    </row>
    <row r="70" spans="1:15">
      <c r="A70" s="4">
        <v>1069</v>
      </c>
      <c r="B70" s="6">
        <v>45326</v>
      </c>
      <c r="C70" s="5" t="s">
        <v>107</v>
      </c>
      <c r="D70" s="6">
        <v>45330</v>
      </c>
      <c r="E70" s="5">
        <v>19.989999999999998</v>
      </c>
      <c r="F70" s="5">
        <v>4</v>
      </c>
      <c r="G70" s="5">
        <v>7.9960000000000004</v>
      </c>
      <c r="H70" s="5">
        <v>87.956000000000003</v>
      </c>
      <c r="K70" s="6">
        <v>45326</v>
      </c>
      <c r="L70" s="5">
        <v>87.956000000000003</v>
      </c>
      <c r="M70" s="5">
        <v>19.989999999999998</v>
      </c>
      <c r="N70" s="5">
        <v>4</v>
      </c>
      <c r="O70" s="5">
        <v>7.9960000000000004</v>
      </c>
    </row>
    <row r="71" spans="1:15">
      <c r="A71" s="4">
        <v>1070</v>
      </c>
      <c r="B71" s="6">
        <v>45326</v>
      </c>
      <c r="C71" s="5" t="s">
        <v>108</v>
      </c>
      <c r="D71" s="6">
        <v>45329</v>
      </c>
      <c r="E71" s="5">
        <v>149.99</v>
      </c>
      <c r="F71" s="5">
        <v>1</v>
      </c>
      <c r="G71" s="5">
        <v>14.999000000000001</v>
      </c>
      <c r="H71" s="5">
        <v>164.989</v>
      </c>
      <c r="K71" s="6">
        <v>45326</v>
      </c>
      <c r="L71" s="5">
        <v>164.989</v>
      </c>
      <c r="M71" s="5">
        <v>149.99</v>
      </c>
      <c r="N71" s="5">
        <v>1</v>
      </c>
      <c r="O71" s="5">
        <v>14.999000000000001</v>
      </c>
    </row>
  </sheetData>
  <autoFilter ref="A1:H71" xr:uid="{00000000-0009-0000-0000-000003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366"/>
  <sheetViews>
    <sheetView topLeftCell="A334" workbookViewId="0">
      <selection activeCell="H354" sqref="H354"/>
    </sheetView>
  </sheetViews>
  <sheetFormatPr defaultRowHeight="15"/>
  <cols>
    <col min="1" max="1" width="20.7109375" bestFit="1" customWidth="1"/>
    <col min="2" max="2" width="9.42578125" bestFit="1" customWidth="1"/>
    <col min="3" max="3" width="10.42578125" bestFit="1" customWidth="1"/>
    <col min="4" max="4" width="18.85546875" bestFit="1" customWidth="1"/>
    <col min="5" max="5" width="15.140625" bestFit="1" customWidth="1"/>
    <col min="6" max="6" width="15.28515625" bestFit="1" customWidth="1"/>
    <col min="9" max="9" width="18.140625" bestFit="1" customWidth="1"/>
    <col min="10" max="10" width="21.42578125" bestFit="1" customWidth="1"/>
    <col min="11" max="11" width="18.140625" bestFit="1" customWidth="1"/>
    <col min="12" max="12" width="20.42578125" bestFit="1" customWidth="1"/>
    <col min="13" max="39" width="8.42578125" bestFit="1" customWidth="1"/>
    <col min="40" max="43" width="8.85546875" bestFit="1" customWidth="1"/>
    <col min="44" max="44" width="11.140625" bestFit="1" customWidth="1"/>
  </cols>
  <sheetData>
    <row r="2" spans="1:13">
      <c r="A2" t="s">
        <v>112</v>
      </c>
      <c r="I2" s="14" t="s">
        <v>49</v>
      </c>
      <c r="J2" s="14" t="s">
        <v>51</v>
      </c>
      <c r="K2" t="s">
        <v>112</v>
      </c>
    </row>
    <row r="3" spans="1:13">
      <c r="A3" s="10">
        <v>10855.151999999991</v>
      </c>
      <c r="B3" s="10">
        <f>A3</f>
        <v>10855.151999999991</v>
      </c>
      <c r="E3" t="s">
        <v>113</v>
      </c>
      <c r="I3" t="s">
        <v>114</v>
      </c>
      <c r="J3" t="s">
        <v>115</v>
      </c>
      <c r="K3" s="10">
        <v>1671.7249999999999</v>
      </c>
      <c r="L3" t="str">
        <f>J3</f>
        <v>Sunday</v>
      </c>
      <c r="M3">
        <f>GETPIVOTDATA("Total (USD)",$I$2,"YEAR","2024","DAY","Sunday")</f>
        <v>1671.7249999999999</v>
      </c>
    </row>
    <row r="4" spans="1:13">
      <c r="E4">
        <v>70</v>
      </c>
      <c r="F4">
        <f>E4</f>
        <v>70</v>
      </c>
      <c r="J4" t="s">
        <v>116</v>
      </c>
      <c r="K4" s="10">
        <v>1396.7470000000003</v>
      </c>
      <c r="L4" t="str">
        <f t="shared" ref="L4:L9" si="0">J4</f>
        <v>Monday</v>
      </c>
      <c r="M4">
        <f>GETPIVOTDATA("Total (USD)",$I$2,"YEAR","2024","DAY","Monday")</f>
        <v>1396.7470000000003</v>
      </c>
    </row>
    <row r="5" spans="1:13">
      <c r="A5" t="s">
        <v>117</v>
      </c>
      <c r="J5" t="s">
        <v>118</v>
      </c>
      <c r="K5" s="10">
        <v>1594.7250000000001</v>
      </c>
      <c r="L5" t="str">
        <f t="shared" si="0"/>
        <v>Tuesday</v>
      </c>
      <c r="M5">
        <f>GETPIVOTDATA("Total (USD)",$I$2,"YEAR","2024","DAY","Tuesday")</f>
        <v>1594.7250000000001</v>
      </c>
    </row>
    <row r="6" spans="1:13">
      <c r="A6" s="10">
        <v>168</v>
      </c>
      <c r="B6" s="16">
        <f>GETPIVOTDATA("Order Quantity",$A$5)</f>
        <v>168</v>
      </c>
      <c r="J6" t="s">
        <v>119</v>
      </c>
      <c r="K6" s="10">
        <v>1638.7360000000003</v>
      </c>
      <c r="L6" t="str">
        <f t="shared" si="0"/>
        <v>Wednesday</v>
      </c>
      <c r="M6">
        <f>GETPIVOTDATA("Total (USD)",$I$2,"YEAR","2024","DAY","Wednesday")</f>
        <v>1638.7360000000003</v>
      </c>
    </row>
    <row r="7" spans="1:13">
      <c r="J7" t="s">
        <v>120</v>
      </c>
      <c r="K7" s="10">
        <v>1737.6920000000002</v>
      </c>
      <c r="L7" t="str">
        <f t="shared" si="0"/>
        <v>Thursday</v>
      </c>
      <c r="M7">
        <f>GETPIVOTDATA("Total (USD)",$I$2,"YEAR","2024","DAY","Thursday")</f>
        <v>1737.6920000000002</v>
      </c>
    </row>
    <row r="8" spans="1:13">
      <c r="A8" s="14" t="s">
        <v>46</v>
      </c>
      <c r="B8" t="s">
        <v>112</v>
      </c>
      <c r="C8" t="s">
        <v>121</v>
      </c>
      <c r="D8" t="s">
        <v>122</v>
      </c>
      <c r="J8" t="s">
        <v>123</v>
      </c>
      <c r="K8" s="10">
        <v>1363.78</v>
      </c>
      <c r="L8" t="str">
        <f t="shared" si="0"/>
        <v>Friday</v>
      </c>
      <c r="M8">
        <f>GETPIVOTDATA("Total (USD)",$I$2,"YEAR","2024","DAY","Friday")</f>
        <v>1363.78</v>
      </c>
    </row>
    <row r="9" spans="1:13">
      <c r="A9" t="s">
        <v>80</v>
      </c>
      <c r="B9" s="10">
        <v>538.91200000000003</v>
      </c>
      <c r="C9" t="str">
        <f>A9</f>
        <v>Jennifer Davis</v>
      </c>
      <c r="D9" s="15">
        <f>B9</f>
        <v>538.91200000000003</v>
      </c>
      <c r="J9" t="s">
        <v>124</v>
      </c>
      <c r="K9" s="10">
        <v>1451.7470000000003</v>
      </c>
      <c r="L9" t="str">
        <f t="shared" si="0"/>
        <v>Saturday</v>
      </c>
      <c r="M9">
        <f>GETPIVOTDATA("Total (USD)",$I$2,"YEAR","2024","DAY","Saturday")</f>
        <v>1451.7470000000003</v>
      </c>
    </row>
    <row r="10" spans="1:13">
      <c r="A10" t="s">
        <v>63</v>
      </c>
      <c r="B10" s="10">
        <v>505.94499999999999</v>
      </c>
      <c r="C10" t="str">
        <f t="shared" ref="C10:C59" si="1">A10</f>
        <v>Michael Johnson</v>
      </c>
      <c r="D10" s="15">
        <f t="shared" ref="D10:D59" si="2">B10</f>
        <v>505.94499999999999</v>
      </c>
      <c r="I10" t="s">
        <v>125</v>
      </c>
      <c r="K10" s="10">
        <v>10855.152000000002</v>
      </c>
    </row>
    <row r="11" spans="1:13">
      <c r="A11" t="s">
        <v>65</v>
      </c>
      <c r="B11" s="10">
        <v>472.96699999999998</v>
      </c>
      <c r="C11" t="str">
        <f t="shared" si="1"/>
        <v>David Wilson</v>
      </c>
      <c r="D11" s="15">
        <f t="shared" si="2"/>
        <v>472.96699999999998</v>
      </c>
      <c r="I11" t="s">
        <v>126</v>
      </c>
      <c r="K11" s="10">
        <v>10855.152000000002</v>
      </c>
    </row>
    <row r="12" spans="1:13">
      <c r="A12" t="s">
        <v>102</v>
      </c>
      <c r="B12" s="10">
        <v>395.96699999999998</v>
      </c>
      <c r="C12" t="str">
        <f t="shared" si="1"/>
        <v>Jessica Wilson</v>
      </c>
      <c r="D12" s="15">
        <f t="shared" si="2"/>
        <v>395.96699999999998</v>
      </c>
    </row>
    <row r="13" spans="1:13">
      <c r="A13" t="s">
        <v>103</v>
      </c>
      <c r="B13" s="10">
        <v>329.91200000000003</v>
      </c>
      <c r="C13" t="str">
        <f t="shared" si="1"/>
        <v>David Rodriguez</v>
      </c>
      <c r="D13" s="15">
        <f t="shared" si="2"/>
        <v>329.91200000000003</v>
      </c>
    </row>
    <row r="14" spans="1:13">
      <c r="A14" t="s">
        <v>126</v>
      </c>
      <c r="B14" s="10">
        <v>2243.7030000000004</v>
      </c>
      <c r="C14" t="str">
        <f t="shared" si="1"/>
        <v>Grand Total</v>
      </c>
      <c r="D14" s="10">
        <f t="shared" si="2"/>
        <v>2243.7030000000004</v>
      </c>
      <c r="I14" s="14" t="s">
        <v>49</v>
      </c>
      <c r="J14" s="14" t="s">
        <v>127</v>
      </c>
      <c r="K14" t="s">
        <v>112</v>
      </c>
    </row>
    <row r="15" spans="1:13">
      <c r="C15">
        <f t="shared" si="1"/>
        <v>0</v>
      </c>
      <c r="D15" s="10">
        <f t="shared" si="2"/>
        <v>0</v>
      </c>
      <c r="I15" t="s">
        <v>114</v>
      </c>
      <c r="J15" t="s">
        <v>128</v>
      </c>
      <c r="K15" s="10">
        <v>9194.4489999999932</v>
      </c>
    </row>
    <row r="16" spans="1:13">
      <c r="C16">
        <f t="shared" si="1"/>
        <v>0</v>
      </c>
      <c r="D16" s="10">
        <f>B16</f>
        <v>0</v>
      </c>
      <c r="J16" t="s">
        <v>129</v>
      </c>
      <c r="K16" s="10">
        <v>1660.7030000000002</v>
      </c>
    </row>
    <row r="17" spans="3:11">
      <c r="C17">
        <f t="shared" si="1"/>
        <v>0</v>
      </c>
      <c r="D17" s="10">
        <f t="shared" si="2"/>
        <v>0</v>
      </c>
      <c r="I17" t="s">
        <v>125</v>
      </c>
      <c r="K17" s="10">
        <v>10855.151999999993</v>
      </c>
    </row>
    <row r="18" spans="3:11">
      <c r="C18">
        <f t="shared" si="1"/>
        <v>0</v>
      </c>
      <c r="D18" s="10">
        <f t="shared" si="2"/>
        <v>0</v>
      </c>
      <c r="I18" t="s">
        <v>126</v>
      </c>
      <c r="K18" s="10">
        <v>10855.151999999993</v>
      </c>
    </row>
    <row r="19" spans="3:11">
      <c r="C19">
        <f t="shared" si="1"/>
        <v>0</v>
      </c>
      <c r="D19" s="10">
        <f t="shared" si="2"/>
        <v>0</v>
      </c>
    </row>
    <row r="20" spans="3:11">
      <c r="C20">
        <f t="shared" si="1"/>
        <v>0</v>
      </c>
      <c r="D20" s="10">
        <f t="shared" si="2"/>
        <v>0</v>
      </c>
      <c r="I20" s="14" t="s">
        <v>127</v>
      </c>
      <c r="J20" t="s">
        <v>117</v>
      </c>
    </row>
    <row r="21" spans="3:11">
      <c r="C21">
        <f t="shared" si="1"/>
        <v>0</v>
      </c>
      <c r="D21" s="10">
        <f t="shared" si="2"/>
        <v>0</v>
      </c>
      <c r="I21" t="s">
        <v>128</v>
      </c>
      <c r="J21" s="10">
        <v>141</v>
      </c>
    </row>
    <row r="22" spans="3:11">
      <c r="C22">
        <f t="shared" si="1"/>
        <v>0</v>
      </c>
      <c r="D22" s="10">
        <f t="shared" si="2"/>
        <v>0</v>
      </c>
      <c r="I22" t="s">
        <v>129</v>
      </c>
      <c r="J22" s="10">
        <v>27</v>
      </c>
    </row>
    <row r="23" spans="3:11">
      <c r="C23">
        <f t="shared" si="1"/>
        <v>0</v>
      </c>
      <c r="D23" s="10">
        <f t="shared" si="2"/>
        <v>0</v>
      </c>
      <c r="I23" t="s">
        <v>126</v>
      </c>
      <c r="J23" s="10">
        <v>168</v>
      </c>
    </row>
    <row r="24" spans="3:11">
      <c r="C24">
        <f t="shared" si="1"/>
        <v>0</v>
      </c>
      <c r="D24" s="10">
        <f t="shared" si="2"/>
        <v>0</v>
      </c>
    </row>
    <row r="25" spans="3:11">
      <c r="C25">
        <f t="shared" si="1"/>
        <v>0</v>
      </c>
      <c r="D25" s="10">
        <f t="shared" si="2"/>
        <v>0</v>
      </c>
      <c r="I25" t="s">
        <v>112</v>
      </c>
    </row>
    <row r="26" spans="3:11">
      <c r="C26">
        <f t="shared" si="1"/>
        <v>0</v>
      </c>
      <c r="D26" s="10">
        <f t="shared" si="2"/>
        <v>0</v>
      </c>
      <c r="I26" s="10">
        <v>10855.151999999991</v>
      </c>
    </row>
    <row r="27" spans="3:11">
      <c r="C27">
        <f t="shared" si="1"/>
        <v>0</v>
      </c>
      <c r="D27" s="10">
        <f t="shared" si="2"/>
        <v>0</v>
      </c>
    </row>
    <row r="28" spans="3:11">
      <c r="C28">
        <f t="shared" si="1"/>
        <v>0</v>
      </c>
      <c r="D28" s="10">
        <f t="shared" si="2"/>
        <v>0</v>
      </c>
      <c r="I28" t="s">
        <v>130</v>
      </c>
    </row>
    <row r="29" spans="3:11">
      <c r="C29">
        <f t="shared" si="1"/>
        <v>0</v>
      </c>
      <c r="D29" s="10">
        <f t="shared" si="2"/>
        <v>0</v>
      </c>
      <c r="I29" s="10">
        <v>2.4615384615384617</v>
      </c>
    </row>
    <row r="30" spans="3:11">
      <c r="C30">
        <f t="shared" si="1"/>
        <v>0</v>
      </c>
      <c r="D30" s="10">
        <f t="shared" si="2"/>
        <v>0</v>
      </c>
    </row>
    <row r="31" spans="3:11">
      <c r="C31">
        <f t="shared" si="1"/>
        <v>0</v>
      </c>
      <c r="D31" s="10">
        <f t="shared" si="2"/>
        <v>0</v>
      </c>
    </row>
    <row r="32" spans="3:11">
      <c r="C32">
        <f t="shared" si="1"/>
        <v>0</v>
      </c>
      <c r="D32" s="10">
        <f t="shared" si="2"/>
        <v>0</v>
      </c>
    </row>
    <row r="33" spans="3:9">
      <c r="C33">
        <f t="shared" si="1"/>
        <v>0</v>
      </c>
      <c r="D33" s="10">
        <f t="shared" si="2"/>
        <v>0</v>
      </c>
      <c r="I33" s="14" t="s">
        <v>131</v>
      </c>
    </row>
    <row r="34" spans="3:9">
      <c r="C34">
        <f t="shared" si="1"/>
        <v>0</v>
      </c>
      <c r="D34" s="10">
        <f t="shared" si="2"/>
        <v>0</v>
      </c>
      <c r="I34" s="38" t="s">
        <v>115</v>
      </c>
    </row>
    <row r="35" spans="3:9">
      <c r="C35">
        <f t="shared" si="1"/>
        <v>0</v>
      </c>
      <c r="D35" s="10">
        <f t="shared" si="2"/>
        <v>0</v>
      </c>
      <c r="I35" s="38" t="s">
        <v>116</v>
      </c>
    </row>
    <row r="36" spans="3:9">
      <c r="C36">
        <f t="shared" si="1"/>
        <v>0</v>
      </c>
      <c r="D36" s="10">
        <f t="shared" si="2"/>
        <v>0</v>
      </c>
      <c r="I36" s="38" t="s">
        <v>118</v>
      </c>
    </row>
    <row r="37" spans="3:9">
      <c r="C37">
        <f t="shared" si="1"/>
        <v>0</v>
      </c>
      <c r="D37" s="10">
        <f t="shared" si="2"/>
        <v>0</v>
      </c>
      <c r="I37" s="38" t="s">
        <v>119</v>
      </c>
    </row>
    <row r="38" spans="3:9">
      <c r="C38">
        <f t="shared" si="1"/>
        <v>0</v>
      </c>
      <c r="D38" s="10">
        <f t="shared" si="2"/>
        <v>0</v>
      </c>
      <c r="I38" s="38" t="s">
        <v>120</v>
      </c>
    </row>
    <row r="39" spans="3:9">
      <c r="C39">
        <f t="shared" si="1"/>
        <v>0</v>
      </c>
      <c r="D39" s="10">
        <f t="shared" si="2"/>
        <v>0</v>
      </c>
      <c r="I39" s="38" t="s">
        <v>123</v>
      </c>
    </row>
    <row r="40" spans="3:9">
      <c r="C40">
        <f t="shared" si="1"/>
        <v>0</v>
      </c>
      <c r="D40" s="10">
        <f t="shared" si="2"/>
        <v>0</v>
      </c>
      <c r="I40" s="38" t="s">
        <v>124</v>
      </c>
    </row>
    <row r="41" spans="3:9">
      <c r="C41">
        <f t="shared" si="1"/>
        <v>0</v>
      </c>
      <c r="D41" s="10">
        <f t="shared" si="2"/>
        <v>0</v>
      </c>
      <c r="I41" s="38" t="s">
        <v>126</v>
      </c>
    </row>
    <row r="42" spans="3:9">
      <c r="C42">
        <f t="shared" si="1"/>
        <v>0</v>
      </c>
      <c r="D42" s="10">
        <f t="shared" si="2"/>
        <v>0</v>
      </c>
    </row>
    <row r="43" spans="3:9">
      <c r="C43">
        <f t="shared" si="1"/>
        <v>0</v>
      </c>
      <c r="D43" s="10">
        <f t="shared" si="2"/>
        <v>0</v>
      </c>
    </row>
    <row r="44" spans="3:9">
      <c r="C44">
        <f t="shared" si="1"/>
        <v>0</v>
      </c>
      <c r="D44" s="10">
        <f t="shared" si="2"/>
        <v>0</v>
      </c>
    </row>
    <row r="45" spans="3:9">
      <c r="C45">
        <f t="shared" si="1"/>
        <v>0</v>
      </c>
      <c r="D45" s="10">
        <f t="shared" si="2"/>
        <v>0</v>
      </c>
    </row>
    <row r="46" spans="3:9">
      <c r="C46">
        <f t="shared" si="1"/>
        <v>0</v>
      </c>
      <c r="D46" s="10">
        <f t="shared" si="2"/>
        <v>0</v>
      </c>
    </row>
    <row r="47" spans="3:9">
      <c r="C47">
        <f t="shared" si="1"/>
        <v>0</v>
      </c>
      <c r="D47" s="10">
        <f t="shared" si="2"/>
        <v>0</v>
      </c>
    </row>
    <row r="48" spans="3:9">
      <c r="C48">
        <f t="shared" si="1"/>
        <v>0</v>
      </c>
      <c r="D48" s="10">
        <f t="shared" si="2"/>
        <v>0</v>
      </c>
    </row>
    <row r="49" spans="1:4">
      <c r="C49">
        <f t="shared" si="1"/>
        <v>0</v>
      </c>
      <c r="D49" s="10">
        <f t="shared" si="2"/>
        <v>0</v>
      </c>
    </row>
    <row r="50" spans="1:4">
      <c r="C50">
        <f t="shared" si="1"/>
        <v>0</v>
      </c>
      <c r="D50" s="10">
        <f t="shared" si="2"/>
        <v>0</v>
      </c>
    </row>
    <row r="51" spans="1:4">
      <c r="C51">
        <f t="shared" si="1"/>
        <v>0</v>
      </c>
      <c r="D51" s="10">
        <f t="shared" si="2"/>
        <v>0</v>
      </c>
    </row>
    <row r="52" spans="1:4">
      <c r="C52">
        <f t="shared" si="1"/>
        <v>0</v>
      </c>
      <c r="D52" s="10">
        <f t="shared" si="2"/>
        <v>0</v>
      </c>
    </row>
    <row r="53" spans="1:4">
      <c r="C53">
        <f t="shared" si="1"/>
        <v>0</v>
      </c>
      <c r="D53" s="10">
        <f t="shared" si="2"/>
        <v>0</v>
      </c>
    </row>
    <row r="54" spans="1:4">
      <c r="C54">
        <f t="shared" si="1"/>
        <v>0</v>
      </c>
      <c r="D54" s="10">
        <f t="shared" si="2"/>
        <v>0</v>
      </c>
    </row>
    <row r="55" spans="1:4">
      <c r="C55">
        <f t="shared" si="1"/>
        <v>0</v>
      </c>
      <c r="D55" s="10">
        <f t="shared" si="2"/>
        <v>0</v>
      </c>
    </row>
    <row r="56" spans="1:4">
      <c r="C56">
        <f t="shared" si="1"/>
        <v>0</v>
      </c>
      <c r="D56" s="10">
        <f t="shared" si="2"/>
        <v>0</v>
      </c>
    </row>
    <row r="57" spans="1:4">
      <c r="C57">
        <f t="shared" si="1"/>
        <v>0</v>
      </c>
      <c r="D57" s="10">
        <f t="shared" si="2"/>
        <v>0</v>
      </c>
    </row>
    <row r="58" spans="1:4">
      <c r="C58">
        <f t="shared" si="1"/>
        <v>0</v>
      </c>
      <c r="D58" s="10">
        <f t="shared" si="2"/>
        <v>0</v>
      </c>
    </row>
    <row r="59" spans="1:4">
      <c r="C59">
        <f t="shared" si="1"/>
        <v>0</v>
      </c>
      <c r="D59" s="10">
        <f t="shared" si="2"/>
        <v>0</v>
      </c>
    </row>
    <row r="61" spans="1:4">
      <c r="A61" s="14" t="s">
        <v>46</v>
      </c>
      <c r="B61" t="s">
        <v>117</v>
      </c>
    </row>
    <row r="62" spans="1:4">
      <c r="A62" t="s">
        <v>64</v>
      </c>
      <c r="B62" s="10">
        <v>10</v>
      </c>
      <c r="C62" t="str">
        <f>A62</f>
        <v>Emily Brown</v>
      </c>
      <c r="D62" s="16">
        <f>B62</f>
        <v>10</v>
      </c>
    </row>
    <row r="63" spans="1:4">
      <c r="A63" t="s">
        <v>103</v>
      </c>
      <c r="B63" s="10">
        <v>8</v>
      </c>
      <c r="C63" t="str">
        <f t="shared" ref="C63:C113" si="3">A63</f>
        <v>David Rodriguez</v>
      </c>
      <c r="D63" s="16">
        <f t="shared" ref="D63:D113" si="4">B63</f>
        <v>8</v>
      </c>
    </row>
    <row r="64" spans="1:4">
      <c r="A64" t="s">
        <v>101</v>
      </c>
      <c r="B64" s="10">
        <v>8</v>
      </c>
      <c r="C64" t="str">
        <f t="shared" si="3"/>
        <v>Michael Martinez</v>
      </c>
      <c r="D64" s="16">
        <f t="shared" si="4"/>
        <v>8</v>
      </c>
    </row>
    <row r="65" spans="1:4">
      <c r="A65" t="s">
        <v>80</v>
      </c>
      <c r="B65" s="10">
        <v>8</v>
      </c>
      <c r="C65" t="str">
        <f t="shared" si="3"/>
        <v>Jennifer Davis</v>
      </c>
      <c r="D65" s="16">
        <f t="shared" si="4"/>
        <v>8</v>
      </c>
    </row>
    <row r="66" spans="1:4">
      <c r="A66" t="s">
        <v>98</v>
      </c>
      <c r="B66" s="10">
        <v>7</v>
      </c>
      <c r="C66" t="str">
        <f t="shared" si="3"/>
        <v>Sarah Johnson</v>
      </c>
      <c r="D66" s="16">
        <f t="shared" si="4"/>
        <v>7</v>
      </c>
    </row>
    <row r="67" spans="1:4">
      <c r="A67" t="s">
        <v>105</v>
      </c>
      <c r="B67" s="10">
        <v>7</v>
      </c>
      <c r="C67" t="str">
        <f t="shared" si="3"/>
        <v>Matthew Smith</v>
      </c>
      <c r="D67" s="16">
        <f t="shared" si="4"/>
        <v>7</v>
      </c>
    </row>
    <row r="68" spans="1:4">
      <c r="A68" t="s">
        <v>84</v>
      </c>
      <c r="B68" s="10">
        <v>7</v>
      </c>
      <c r="C68" t="str">
        <f t="shared" si="3"/>
        <v>Jessica Martinez</v>
      </c>
      <c r="D68" s="16">
        <f t="shared" si="4"/>
        <v>7</v>
      </c>
    </row>
    <row r="69" spans="1:4">
      <c r="A69" t="s">
        <v>126</v>
      </c>
      <c r="B69" s="10">
        <v>55</v>
      </c>
      <c r="C69" t="str">
        <f t="shared" si="3"/>
        <v>Grand Total</v>
      </c>
      <c r="D69" s="16">
        <f t="shared" si="4"/>
        <v>55</v>
      </c>
    </row>
    <row r="70" spans="1:4">
      <c r="C70">
        <f t="shared" si="3"/>
        <v>0</v>
      </c>
      <c r="D70" s="16">
        <f>B70</f>
        <v>0</v>
      </c>
    </row>
    <row r="71" spans="1:4">
      <c r="C71">
        <f t="shared" si="3"/>
        <v>0</v>
      </c>
      <c r="D71" s="16">
        <f t="shared" si="4"/>
        <v>0</v>
      </c>
    </row>
    <row r="72" spans="1:4">
      <c r="C72">
        <f t="shared" si="3"/>
        <v>0</v>
      </c>
      <c r="D72" s="16">
        <f t="shared" si="4"/>
        <v>0</v>
      </c>
    </row>
    <row r="73" spans="1:4">
      <c r="C73">
        <f>A73</f>
        <v>0</v>
      </c>
      <c r="D73" s="16">
        <f t="shared" si="4"/>
        <v>0</v>
      </c>
    </row>
    <row r="74" spans="1:4">
      <c r="C74">
        <f t="shared" si="3"/>
        <v>0</v>
      </c>
      <c r="D74" s="16">
        <f t="shared" si="4"/>
        <v>0</v>
      </c>
    </row>
    <row r="75" spans="1:4">
      <c r="C75">
        <f t="shared" si="3"/>
        <v>0</v>
      </c>
      <c r="D75" s="16">
        <f t="shared" si="4"/>
        <v>0</v>
      </c>
    </row>
    <row r="76" spans="1:4">
      <c r="C76">
        <f t="shared" si="3"/>
        <v>0</v>
      </c>
      <c r="D76" s="16">
        <f t="shared" si="4"/>
        <v>0</v>
      </c>
    </row>
    <row r="77" spans="1:4">
      <c r="C77">
        <f t="shared" si="3"/>
        <v>0</v>
      </c>
      <c r="D77" s="16">
        <f t="shared" si="4"/>
        <v>0</v>
      </c>
    </row>
    <row r="78" spans="1:4">
      <c r="C78">
        <f t="shared" si="3"/>
        <v>0</v>
      </c>
      <c r="D78" s="16">
        <f t="shared" si="4"/>
        <v>0</v>
      </c>
    </row>
    <row r="79" spans="1:4">
      <c r="C79">
        <f t="shared" si="3"/>
        <v>0</v>
      </c>
      <c r="D79" s="16">
        <f t="shared" si="4"/>
        <v>0</v>
      </c>
    </row>
    <row r="80" spans="1:4">
      <c r="C80">
        <f t="shared" si="3"/>
        <v>0</v>
      </c>
      <c r="D80" s="16">
        <f t="shared" si="4"/>
        <v>0</v>
      </c>
    </row>
    <row r="81" spans="3:4">
      <c r="C81">
        <f t="shared" si="3"/>
        <v>0</v>
      </c>
      <c r="D81" s="16">
        <f t="shared" si="4"/>
        <v>0</v>
      </c>
    </row>
    <row r="82" spans="3:4">
      <c r="C82">
        <f t="shared" si="3"/>
        <v>0</v>
      </c>
      <c r="D82" s="16">
        <f t="shared" si="4"/>
        <v>0</v>
      </c>
    </row>
    <row r="83" spans="3:4">
      <c r="C83">
        <f t="shared" si="3"/>
        <v>0</v>
      </c>
      <c r="D83" s="16">
        <f t="shared" si="4"/>
        <v>0</v>
      </c>
    </row>
    <row r="84" spans="3:4">
      <c r="C84">
        <f t="shared" si="3"/>
        <v>0</v>
      </c>
      <c r="D84" s="16">
        <f t="shared" si="4"/>
        <v>0</v>
      </c>
    </row>
    <row r="85" spans="3:4">
      <c r="C85">
        <f t="shared" si="3"/>
        <v>0</v>
      </c>
      <c r="D85" s="16">
        <f t="shared" si="4"/>
        <v>0</v>
      </c>
    </row>
    <row r="86" spans="3:4">
      <c r="C86">
        <f t="shared" si="3"/>
        <v>0</v>
      </c>
      <c r="D86" s="16">
        <f t="shared" si="4"/>
        <v>0</v>
      </c>
    </row>
    <row r="87" spans="3:4">
      <c r="C87">
        <f t="shared" si="3"/>
        <v>0</v>
      </c>
      <c r="D87" s="16">
        <f t="shared" si="4"/>
        <v>0</v>
      </c>
    </row>
    <row r="88" spans="3:4">
      <c r="C88">
        <f t="shared" si="3"/>
        <v>0</v>
      </c>
      <c r="D88" s="16">
        <f t="shared" si="4"/>
        <v>0</v>
      </c>
    </row>
    <row r="89" spans="3:4">
      <c r="C89">
        <f t="shared" si="3"/>
        <v>0</v>
      </c>
      <c r="D89" s="16">
        <f t="shared" si="4"/>
        <v>0</v>
      </c>
    </row>
    <row r="90" spans="3:4">
      <c r="C90">
        <f t="shared" si="3"/>
        <v>0</v>
      </c>
      <c r="D90" s="16">
        <f t="shared" si="4"/>
        <v>0</v>
      </c>
    </row>
    <row r="91" spans="3:4">
      <c r="C91">
        <f t="shared" si="3"/>
        <v>0</v>
      </c>
      <c r="D91" s="16">
        <f t="shared" si="4"/>
        <v>0</v>
      </c>
    </row>
    <row r="92" spans="3:4">
      <c r="C92">
        <f t="shared" si="3"/>
        <v>0</v>
      </c>
      <c r="D92" s="16">
        <f t="shared" si="4"/>
        <v>0</v>
      </c>
    </row>
    <row r="93" spans="3:4">
      <c r="C93">
        <f t="shared" si="3"/>
        <v>0</v>
      </c>
      <c r="D93" s="16">
        <f t="shared" si="4"/>
        <v>0</v>
      </c>
    </row>
    <row r="94" spans="3:4">
      <c r="C94">
        <f t="shared" si="3"/>
        <v>0</v>
      </c>
      <c r="D94" s="16">
        <f t="shared" si="4"/>
        <v>0</v>
      </c>
    </row>
    <row r="95" spans="3:4">
      <c r="C95">
        <f t="shared" si="3"/>
        <v>0</v>
      </c>
      <c r="D95" s="16">
        <f t="shared" si="4"/>
        <v>0</v>
      </c>
    </row>
    <row r="96" spans="3:4">
      <c r="C96">
        <f t="shared" si="3"/>
        <v>0</v>
      </c>
      <c r="D96" s="16">
        <f t="shared" si="4"/>
        <v>0</v>
      </c>
    </row>
    <row r="97" spans="3:4">
      <c r="C97">
        <f t="shared" si="3"/>
        <v>0</v>
      </c>
      <c r="D97" s="16">
        <f t="shared" si="4"/>
        <v>0</v>
      </c>
    </row>
    <row r="98" spans="3:4">
      <c r="C98">
        <f t="shared" si="3"/>
        <v>0</v>
      </c>
      <c r="D98" s="16">
        <f t="shared" si="4"/>
        <v>0</v>
      </c>
    </row>
    <row r="99" spans="3:4">
      <c r="C99">
        <f t="shared" si="3"/>
        <v>0</v>
      </c>
      <c r="D99" s="16">
        <f t="shared" si="4"/>
        <v>0</v>
      </c>
    </row>
    <row r="100" spans="3:4">
      <c r="C100">
        <f t="shared" si="3"/>
        <v>0</v>
      </c>
      <c r="D100" s="16">
        <f t="shared" si="4"/>
        <v>0</v>
      </c>
    </row>
    <row r="101" spans="3:4">
      <c r="C101">
        <f t="shared" si="3"/>
        <v>0</v>
      </c>
      <c r="D101" s="16">
        <f t="shared" si="4"/>
        <v>0</v>
      </c>
    </row>
    <row r="102" spans="3:4">
      <c r="C102">
        <f t="shared" si="3"/>
        <v>0</v>
      </c>
      <c r="D102" s="16">
        <f t="shared" si="4"/>
        <v>0</v>
      </c>
    </row>
    <row r="103" spans="3:4">
      <c r="C103">
        <f t="shared" si="3"/>
        <v>0</v>
      </c>
      <c r="D103" s="16">
        <f t="shared" si="4"/>
        <v>0</v>
      </c>
    </row>
    <row r="104" spans="3:4">
      <c r="C104">
        <f t="shared" si="3"/>
        <v>0</v>
      </c>
      <c r="D104" s="16">
        <f t="shared" si="4"/>
        <v>0</v>
      </c>
    </row>
    <row r="105" spans="3:4">
      <c r="C105">
        <f t="shared" si="3"/>
        <v>0</v>
      </c>
      <c r="D105" s="16">
        <f t="shared" si="4"/>
        <v>0</v>
      </c>
    </row>
    <row r="106" spans="3:4">
      <c r="C106">
        <f t="shared" si="3"/>
        <v>0</v>
      </c>
      <c r="D106" s="16">
        <f t="shared" si="4"/>
        <v>0</v>
      </c>
    </row>
    <row r="107" spans="3:4">
      <c r="C107">
        <f t="shared" si="3"/>
        <v>0</v>
      </c>
      <c r="D107" s="16">
        <f t="shared" si="4"/>
        <v>0</v>
      </c>
    </row>
    <row r="108" spans="3:4">
      <c r="C108">
        <f t="shared" si="3"/>
        <v>0</v>
      </c>
      <c r="D108" s="16">
        <f t="shared" si="4"/>
        <v>0</v>
      </c>
    </row>
    <row r="109" spans="3:4">
      <c r="C109">
        <f t="shared" si="3"/>
        <v>0</v>
      </c>
      <c r="D109" s="16">
        <f t="shared" si="4"/>
        <v>0</v>
      </c>
    </row>
    <row r="110" spans="3:4">
      <c r="C110">
        <f>A110</f>
        <v>0</v>
      </c>
      <c r="D110" s="16">
        <f t="shared" si="4"/>
        <v>0</v>
      </c>
    </row>
    <row r="111" spans="3:4">
      <c r="C111">
        <f t="shared" si="3"/>
        <v>0</v>
      </c>
      <c r="D111" s="16">
        <f t="shared" si="4"/>
        <v>0</v>
      </c>
    </row>
    <row r="112" spans="3:4">
      <c r="C112">
        <f t="shared" si="3"/>
        <v>0</v>
      </c>
      <c r="D112" s="16">
        <f t="shared" si="4"/>
        <v>0</v>
      </c>
    </row>
    <row r="113" spans="1:4">
      <c r="C113">
        <f t="shared" si="3"/>
        <v>0</v>
      </c>
      <c r="D113" s="16">
        <f t="shared" si="4"/>
        <v>0</v>
      </c>
    </row>
    <row r="116" spans="1:4">
      <c r="A116" s="14" t="s">
        <v>51</v>
      </c>
      <c r="B116" t="s">
        <v>112</v>
      </c>
      <c r="C116" t="s">
        <v>51</v>
      </c>
      <c r="D116" t="s">
        <v>132</v>
      </c>
    </row>
    <row r="117" spans="1:4">
      <c r="A117" t="s">
        <v>123</v>
      </c>
      <c r="B117" s="10">
        <v>1363.78</v>
      </c>
      <c r="C117" t="str">
        <f>A117</f>
        <v>Friday</v>
      </c>
      <c r="D117" s="10">
        <f>B117</f>
        <v>1363.78</v>
      </c>
    </row>
    <row r="118" spans="1:4">
      <c r="A118" t="s">
        <v>116</v>
      </c>
      <c r="B118" s="10">
        <v>1396.7470000000003</v>
      </c>
      <c r="C118" t="str">
        <f t="shared" ref="C118:C124" si="5">A118</f>
        <v>Monday</v>
      </c>
      <c r="D118" s="10">
        <f t="shared" ref="D118:D124" si="6">B118</f>
        <v>1396.7470000000003</v>
      </c>
    </row>
    <row r="119" spans="1:4">
      <c r="A119" t="s">
        <v>124</v>
      </c>
      <c r="B119" s="10">
        <v>1451.7470000000003</v>
      </c>
      <c r="C119" t="str">
        <f t="shared" si="5"/>
        <v>Saturday</v>
      </c>
      <c r="D119" s="10">
        <f t="shared" si="6"/>
        <v>1451.7470000000003</v>
      </c>
    </row>
    <row r="120" spans="1:4">
      <c r="A120" t="s">
        <v>118</v>
      </c>
      <c r="B120" s="10">
        <v>1594.7250000000001</v>
      </c>
      <c r="C120" t="str">
        <f t="shared" si="5"/>
        <v>Tuesday</v>
      </c>
      <c r="D120" s="10">
        <f t="shared" si="6"/>
        <v>1594.7250000000001</v>
      </c>
    </row>
    <row r="121" spans="1:4">
      <c r="A121" t="s">
        <v>119</v>
      </c>
      <c r="B121" s="10">
        <v>1638.7360000000003</v>
      </c>
      <c r="C121" t="str">
        <f t="shared" si="5"/>
        <v>Wednesday</v>
      </c>
      <c r="D121" s="10">
        <f t="shared" si="6"/>
        <v>1638.7360000000003</v>
      </c>
    </row>
    <row r="122" spans="1:4">
      <c r="A122" t="s">
        <v>115</v>
      </c>
      <c r="B122" s="10">
        <v>1671.7249999999999</v>
      </c>
      <c r="C122" t="str">
        <f t="shared" si="5"/>
        <v>Sunday</v>
      </c>
      <c r="D122" s="10">
        <f t="shared" si="6"/>
        <v>1671.7249999999999</v>
      </c>
    </row>
    <row r="123" spans="1:4">
      <c r="A123" t="s">
        <v>120</v>
      </c>
      <c r="B123" s="10">
        <v>1737.6920000000002</v>
      </c>
      <c r="C123" t="str">
        <f t="shared" si="5"/>
        <v>Thursday</v>
      </c>
      <c r="D123" s="10">
        <f t="shared" si="6"/>
        <v>1737.6920000000002</v>
      </c>
    </row>
    <row r="124" spans="1:4">
      <c r="A124" t="s">
        <v>126</v>
      </c>
      <c r="B124" s="10">
        <v>10855.152000000002</v>
      </c>
      <c r="C124" t="str">
        <f t="shared" si="5"/>
        <v>Grand Total</v>
      </c>
      <c r="D124" s="10">
        <f t="shared" si="6"/>
        <v>10855.152000000002</v>
      </c>
    </row>
    <row r="127" spans="1:4">
      <c r="A127" s="14" t="s">
        <v>51</v>
      </c>
      <c r="B127" t="s">
        <v>133</v>
      </c>
      <c r="C127" t="s">
        <v>134</v>
      </c>
      <c r="D127" t="s">
        <v>135</v>
      </c>
    </row>
    <row r="128" spans="1:4">
      <c r="A128" t="s">
        <v>123</v>
      </c>
      <c r="B128" s="10">
        <v>2.2222222222222223</v>
      </c>
      <c r="C128" t="str">
        <f>A128</f>
        <v>Friday</v>
      </c>
      <c r="D128" s="16">
        <f>B128</f>
        <v>2.2222222222222223</v>
      </c>
    </row>
    <row r="129" spans="1:4">
      <c r="A129" t="s">
        <v>115</v>
      </c>
      <c r="B129" s="10">
        <v>2.2727272727272729</v>
      </c>
      <c r="C129" t="str">
        <f t="shared" ref="C129:C134" si="7">A129</f>
        <v>Sunday</v>
      </c>
      <c r="D129" s="16">
        <f t="shared" ref="D129:D135" si="8">B129</f>
        <v>2.2727272727272729</v>
      </c>
    </row>
    <row r="130" spans="1:4">
      <c r="A130" t="s">
        <v>116</v>
      </c>
      <c r="B130" s="10">
        <v>2.2999999999999998</v>
      </c>
      <c r="C130" t="str">
        <f t="shared" si="7"/>
        <v>Monday</v>
      </c>
      <c r="D130" s="16">
        <f t="shared" si="8"/>
        <v>2.2999999999999998</v>
      </c>
    </row>
    <row r="131" spans="1:4">
      <c r="A131" t="s">
        <v>119</v>
      </c>
      <c r="B131" s="10">
        <v>2.4</v>
      </c>
      <c r="C131" t="str">
        <f t="shared" si="7"/>
        <v>Wednesday</v>
      </c>
      <c r="D131" s="16">
        <f t="shared" si="8"/>
        <v>2.4</v>
      </c>
    </row>
    <row r="132" spans="1:4">
      <c r="A132" t="s">
        <v>118</v>
      </c>
      <c r="B132" s="10">
        <v>2.5</v>
      </c>
      <c r="C132" t="str">
        <f t="shared" si="7"/>
        <v>Tuesday</v>
      </c>
      <c r="D132" s="16">
        <f t="shared" si="8"/>
        <v>2.5</v>
      </c>
    </row>
    <row r="133" spans="1:4">
      <c r="A133" t="s">
        <v>120</v>
      </c>
      <c r="B133" s="10">
        <v>2.5454545454545454</v>
      </c>
      <c r="C133" t="str">
        <f t="shared" si="7"/>
        <v>Thursday</v>
      </c>
      <c r="D133" s="16">
        <f t="shared" si="8"/>
        <v>2.5454545454545454</v>
      </c>
    </row>
    <row r="134" spans="1:4">
      <c r="A134" t="s">
        <v>124</v>
      </c>
      <c r="B134" s="10">
        <v>2.5555555555555554</v>
      </c>
      <c r="C134" t="str">
        <f t="shared" si="7"/>
        <v>Saturday</v>
      </c>
      <c r="D134" s="16">
        <f t="shared" si="8"/>
        <v>2.5555555555555554</v>
      </c>
    </row>
    <row r="135" spans="1:4">
      <c r="A135" t="s">
        <v>126</v>
      </c>
      <c r="B135" s="10">
        <v>2.4</v>
      </c>
      <c r="D135" s="16">
        <f t="shared" si="8"/>
        <v>2.4</v>
      </c>
    </row>
    <row r="138" spans="1:4">
      <c r="A138" s="14" t="s">
        <v>127</v>
      </c>
      <c r="B138" t="s">
        <v>112</v>
      </c>
    </row>
    <row r="139" spans="1:4">
      <c r="A139" t="s">
        <v>128</v>
      </c>
      <c r="B139" s="10">
        <v>9194.4489999999932</v>
      </c>
      <c r="C139" t="str">
        <f>A139</f>
        <v>January</v>
      </c>
      <c r="D139" s="10">
        <f>B139</f>
        <v>9194.4489999999932</v>
      </c>
    </row>
    <row r="140" spans="1:4">
      <c r="A140" t="s">
        <v>129</v>
      </c>
      <c r="B140" s="10">
        <v>1660.7030000000002</v>
      </c>
      <c r="C140" t="str">
        <f>A140</f>
        <v>February</v>
      </c>
      <c r="D140" s="10">
        <f>B140</f>
        <v>1660.7030000000002</v>
      </c>
    </row>
    <row r="141" spans="1:4">
      <c r="A141" t="s">
        <v>126</v>
      </c>
      <c r="B141" s="10">
        <v>10855.151999999993</v>
      </c>
    </row>
    <row r="144" spans="1:4">
      <c r="A144" s="14" t="s">
        <v>51</v>
      </c>
      <c r="B144" t="s">
        <v>113</v>
      </c>
      <c r="C144" t="s">
        <v>136</v>
      </c>
      <c r="D144" t="s">
        <v>137</v>
      </c>
    </row>
    <row r="145" spans="1:4">
      <c r="A145" t="s">
        <v>115</v>
      </c>
      <c r="B145">
        <v>11</v>
      </c>
      <c r="C145" t="str">
        <f>A145</f>
        <v>Sunday</v>
      </c>
      <c r="D145" s="16">
        <f>B145</f>
        <v>11</v>
      </c>
    </row>
    <row r="146" spans="1:4">
      <c r="A146" t="s">
        <v>120</v>
      </c>
      <c r="B146">
        <v>11</v>
      </c>
      <c r="C146" t="str">
        <f>A146</f>
        <v>Thursday</v>
      </c>
      <c r="D146" s="16">
        <f>B146</f>
        <v>11</v>
      </c>
    </row>
    <row r="147" spans="1:4">
      <c r="A147" t="s">
        <v>118</v>
      </c>
      <c r="B147">
        <v>10</v>
      </c>
      <c r="C147" t="str">
        <f t="shared" ref="C147:C152" si="9">A147</f>
        <v>Tuesday</v>
      </c>
      <c r="D147" s="16">
        <f t="shared" ref="D147:D152" si="10">B147</f>
        <v>10</v>
      </c>
    </row>
    <row r="148" spans="1:4">
      <c r="A148" t="s">
        <v>116</v>
      </c>
      <c r="B148">
        <v>10</v>
      </c>
      <c r="C148" t="str">
        <f t="shared" si="9"/>
        <v>Monday</v>
      </c>
      <c r="D148" s="16">
        <f>B148</f>
        <v>10</v>
      </c>
    </row>
    <row r="149" spans="1:4">
      <c r="A149" t="s">
        <v>119</v>
      </c>
      <c r="B149">
        <v>10</v>
      </c>
      <c r="C149" t="str">
        <f t="shared" si="9"/>
        <v>Wednesday</v>
      </c>
      <c r="D149" s="16">
        <f t="shared" si="10"/>
        <v>10</v>
      </c>
    </row>
    <row r="150" spans="1:4">
      <c r="A150" t="s">
        <v>124</v>
      </c>
      <c r="B150">
        <v>9</v>
      </c>
      <c r="C150" t="str">
        <f t="shared" si="9"/>
        <v>Saturday</v>
      </c>
      <c r="D150" s="16">
        <f t="shared" si="10"/>
        <v>9</v>
      </c>
    </row>
    <row r="151" spans="1:4">
      <c r="A151" t="s">
        <v>123</v>
      </c>
      <c r="B151">
        <v>9</v>
      </c>
      <c r="C151" t="str">
        <f t="shared" si="9"/>
        <v>Friday</v>
      </c>
      <c r="D151" s="16">
        <f>B151</f>
        <v>9</v>
      </c>
    </row>
    <row r="152" spans="1:4">
      <c r="A152" t="s">
        <v>126</v>
      </c>
      <c r="B152">
        <v>70</v>
      </c>
      <c r="C152" t="str">
        <f t="shared" si="9"/>
        <v>Grand Total</v>
      </c>
      <c r="D152" s="16">
        <f t="shared" si="10"/>
        <v>70</v>
      </c>
    </row>
    <row r="155" spans="1:4">
      <c r="A155" s="14" t="s">
        <v>45</v>
      </c>
      <c r="B155" t="s">
        <v>113</v>
      </c>
      <c r="D155" t="s">
        <v>137</v>
      </c>
    </row>
    <row r="156" spans="1:4">
      <c r="A156" s="31">
        <v>45292</v>
      </c>
      <c r="B156">
        <v>2</v>
      </c>
      <c r="C156" s="31">
        <f>A156</f>
        <v>45292</v>
      </c>
      <c r="D156" s="16">
        <f>B156</f>
        <v>2</v>
      </c>
    </row>
    <row r="157" spans="1:4">
      <c r="A157" s="31">
        <v>45293</v>
      </c>
      <c r="B157">
        <v>2</v>
      </c>
      <c r="C157" s="31">
        <f t="shared" ref="C157:C191" si="11">A157</f>
        <v>45293</v>
      </c>
      <c r="D157" s="16">
        <f t="shared" ref="D157:D162" si="12">B157</f>
        <v>2</v>
      </c>
    </row>
    <row r="158" spans="1:4">
      <c r="A158" s="31">
        <v>45294</v>
      </c>
      <c r="B158">
        <v>2</v>
      </c>
      <c r="C158" s="31">
        <f t="shared" si="11"/>
        <v>45294</v>
      </c>
      <c r="D158" s="16">
        <f t="shared" si="12"/>
        <v>2</v>
      </c>
    </row>
    <row r="159" spans="1:4">
      <c r="A159" s="31">
        <v>45295</v>
      </c>
      <c r="B159">
        <v>2</v>
      </c>
      <c r="C159" s="31">
        <f t="shared" si="11"/>
        <v>45295</v>
      </c>
      <c r="D159" s="16">
        <f t="shared" si="12"/>
        <v>2</v>
      </c>
    </row>
    <row r="160" spans="1:4">
      <c r="A160" s="31">
        <v>45296</v>
      </c>
      <c r="B160">
        <v>2</v>
      </c>
      <c r="C160" s="31">
        <f t="shared" si="11"/>
        <v>45296</v>
      </c>
      <c r="D160" s="16">
        <f t="shared" si="12"/>
        <v>2</v>
      </c>
    </row>
    <row r="161" spans="1:4">
      <c r="A161" s="31">
        <v>45297</v>
      </c>
      <c r="B161">
        <v>2</v>
      </c>
      <c r="C161" s="31">
        <f t="shared" si="11"/>
        <v>45297</v>
      </c>
      <c r="D161" s="16">
        <f t="shared" si="12"/>
        <v>2</v>
      </c>
    </row>
    <row r="162" spans="1:4">
      <c r="A162" s="31">
        <v>45298</v>
      </c>
      <c r="B162">
        <v>2</v>
      </c>
      <c r="C162" s="31">
        <f t="shared" si="11"/>
        <v>45298</v>
      </c>
      <c r="D162" s="16">
        <f t="shared" si="12"/>
        <v>2</v>
      </c>
    </row>
    <row r="163" spans="1:4">
      <c r="A163" s="31">
        <v>45299</v>
      </c>
      <c r="B163">
        <v>2</v>
      </c>
      <c r="C163" s="31">
        <f t="shared" si="11"/>
        <v>45299</v>
      </c>
      <c r="D163" s="16">
        <f t="shared" ref="D163:D191" si="13">B163</f>
        <v>2</v>
      </c>
    </row>
    <row r="164" spans="1:4">
      <c r="A164" s="31">
        <v>45300</v>
      </c>
      <c r="B164">
        <v>2</v>
      </c>
      <c r="C164" s="31">
        <f t="shared" si="11"/>
        <v>45300</v>
      </c>
      <c r="D164" s="16">
        <f t="shared" si="13"/>
        <v>2</v>
      </c>
    </row>
    <row r="165" spans="1:4">
      <c r="A165" s="31">
        <v>45301</v>
      </c>
      <c r="B165">
        <v>2</v>
      </c>
      <c r="C165" s="31">
        <f t="shared" si="11"/>
        <v>45301</v>
      </c>
      <c r="D165" s="16">
        <f t="shared" si="13"/>
        <v>2</v>
      </c>
    </row>
    <row r="166" spans="1:4">
      <c r="A166" s="31">
        <v>45302</v>
      </c>
      <c r="B166">
        <v>2</v>
      </c>
      <c r="C166" s="31">
        <f t="shared" si="11"/>
        <v>45302</v>
      </c>
      <c r="D166" s="16">
        <f t="shared" si="13"/>
        <v>2</v>
      </c>
    </row>
    <row r="167" spans="1:4">
      <c r="A167" s="31">
        <v>45303</v>
      </c>
      <c r="B167">
        <v>2</v>
      </c>
      <c r="C167" s="31">
        <f t="shared" si="11"/>
        <v>45303</v>
      </c>
      <c r="D167" s="16">
        <f t="shared" si="13"/>
        <v>2</v>
      </c>
    </row>
    <row r="168" spans="1:4">
      <c r="A168" s="31">
        <v>45304</v>
      </c>
      <c r="B168">
        <v>2</v>
      </c>
      <c r="C168" s="31">
        <f t="shared" si="11"/>
        <v>45304</v>
      </c>
      <c r="D168" s="16">
        <f t="shared" si="13"/>
        <v>2</v>
      </c>
    </row>
    <row r="169" spans="1:4">
      <c r="A169" s="31">
        <v>45305</v>
      </c>
      <c r="B169">
        <v>2</v>
      </c>
      <c r="C169" s="31">
        <f t="shared" si="11"/>
        <v>45305</v>
      </c>
      <c r="D169" s="16">
        <f t="shared" si="13"/>
        <v>2</v>
      </c>
    </row>
    <row r="170" spans="1:4">
      <c r="A170" s="31">
        <v>45306</v>
      </c>
      <c r="B170">
        <v>2</v>
      </c>
      <c r="C170" s="31">
        <f t="shared" si="11"/>
        <v>45306</v>
      </c>
      <c r="D170" s="16">
        <f t="shared" si="13"/>
        <v>2</v>
      </c>
    </row>
    <row r="171" spans="1:4">
      <c r="A171" s="31">
        <v>45307</v>
      </c>
      <c r="B171">
        <v>2</v>
      </c>
      <c r="C171" s="31">
        <f t="shared" si="11"/>
        <v>45307</v>
      </c>
      <c r="D171" s="16">
        <f t="shared" si="13"/>
        <v>2</v>
      </c>
    </row>
    <row r="172" spans="1:4">
      <c r="A172" s="31">
        <v>45308</v>
      </c>
      <c r="B172">
        <v>2</v>
      </c>
      <c r="C172" s="31">
        <f t="shared" si="11"/>
        <v>45308</v>
      </c>
      <c r="D172" s="16">
        <f t="shared" si="13"/>
        <v>2</v>
      </c>
    </row>
    <row r="173" spans="1:4">
      <c r="A173" s="31">
        <v>45309</v>
      </c>
      <c r="B173">
        <v>2</v>
      </c>
      <c r="C173" s="31">
        <f t="shared" si="11"/>
        <v>45309</v>
      </c>
      <c r="D173" s="16">
        <f t="shared" si="13"/>
        <v>2</v>
      </c>
    </row>
    <row r="174" spans="1:4">
      <c r="A174" s="31">
        <v>45310</v>
      </c>
      <c r="B174">
        <v>2</v>
      </c>
      <c r="C174" s="31">
        <f t="shared" si="11"/>
        <v>45310</v>
      </c>
      <c r="D174" s="16">
        <f t="shared" si="13"/>
        <v>2</v>
      </c>
    </row>
    <row r="175" spans="1:4">
      <c r="A175" s="31">
        <v>45311</v>
      </c>
      <c r="B175">
        <v>2</v>
      </c>
      <c r="C175" s="31">
        <f t="shared" si="11"/>
        <v>45311</v>
      </c>
      <c r="D175" s="16">
        <f t="shared" si="13"/>
        <v>2</v>
      </c>
    </row>
    <row r="176" spans="1:4">
      <c r="A176" s="31">
        <v>45312</v>
      </c>
      <c r="B176">
        <v>2</v>
      </c>
      <c r="C176" s="31">
        <f t="shared" si="11"/>
        <v>45312</v>
      </c>
      <c r="D176" s="16">
        <f t="shared" si="13"/>
        <v>2</v>
      </c>
    </row>
    <row r="177" spans="1:4">
      <c r="A177" s="31">
        <v>45313</v>
      </c>
      <c r="B177">
        <v>2</v>
      </c>
      <c r="C177" s="31">
        <f t="shared" si="11"/>
        <v>45313</v>
      </c>
      <c r="D177" s="16">
        <f t="shared" si="13"/>
        <v>2</v>
      </c>
    </row>
    <row r="178" spans="1:4">
      <c r="A178" s="31">
        <v>45314</v>
      </c>
      <c r="B178">
        <v>2</v>
      </c>
      <c r="C178" s="31">
        <f t="shared" si="11"/>
        <v>45314</v>
      </c>
      <c r="D178" s="16">
        <f t="shared" si="13"/>
        <v>2</v>
      </c>
    </row>
    <row r="179" spans="1:4">
      <c r="A179" s="31">
        <v>45315</v>
      </c>
      <c r="B179">
        <v>2</v>
      </c>
      <c r="C179" s="31">
        <f t="shared" si="11"/>
        <v>45315</v>
      </c>
      <c r="D179" s="16">
        <f t="shared" si="13"/>
        <v>2</v>
      </c>
    </row>
    <row r="180" spans="1:4">
      <c r="A180" s="31">
        <v>45316</v>
      </c>
      <c r="B180">
        <v>2</v>
      </c>
      <c r="C180" s="31">
        <f t="shared" si="11"/>
        <v>45316</v>
      </c>
      <c r="D180" s="16">
        <f t="shared" si="13"/>
        <v>2</v>
      </c>
    </row>
    <row r="181" spans="1:4">
      <c r="A181" s="31">
        <v>45317</v>
      </c>
      <c r="B181">
        <v>2</v>
      </c>
      <c r="C181" s="31">
        <f t="shared" si="11"/>
        <v>45317</v>
      </c>
      <c r="D181" s="16">
        <f t="shared" si="13"/>
        <v>2</v>
      </c>
    </row>
    <row r="182" spans="1:4">
      <c r="A182" s="31">
        <v>45318</v>
      </c>
      <c r="B182">
        <v>2</v>
      </c>
      <c r="C182" s="31">
        <f t="shared" si="11"/>
        <v>45318</v>
      </c>
      <c r="D182" s="16">
        <f t="shared" si="13"/>
        <v>2</v>
      </c>
    </row>
    <row r="183" spans="1:4">
      <c r="A183" s="31">
        <v>45319</v>
      </c>
      <c r="B183">
        <v>2</v>
      </c>
      <c r="C183" s="31">
        <f t="shared" si="11"/>
        <v>45319</v>
      </c>
      <c r="D183" s="16">
        <f t="shared" si="13"/>
        <v>2</v>
      </c>
    </row>
    <row r="184" spans="1:4">
      <c r="A184" s="31">
        <v>45320</v>
      </c>
      <c r="B184">
        <v>2</v>
      </c>
      <c r="C184" s="31">
        <f t="shared" si="11"/>
        <v>45320</v>
      </c>
      <c r="D184" s="16">
        <f t="shared" si="13"/>
        <v>2</v>
      </c>
    </row>
    <row r="185" spans="1:4">
      <c r="A185" s="31">
        <v>45321</v>
      </c>
      <c r="B185">
        <v>2</v>
      </c>
      <c r="C185" s="31">
        <f t="shared" si="11"/>
        <v>45321</v>
      </c>
      <c r="D185" s="16">
        <f t="shared" si="13"/>
        <v>2</v>
      </c>
    </row>
    <row r="186" spans="1:4">
      <c r="A186" s="31">
        <v>45322</v>
      </c>
      <c r="B186">
        <v>2</v>
      </c>
      <c r="C186" s="31">
        <f t="shared" si="11"/>
        <v>45322</v>
      </c>
      <c r="D186" s="16">
        <f t="shared" si="13"/>
        <v>2</v>
      </c>
    </row>
    <row r="187" spans="1:4">
      <c r="A187" s="31">
        <v>45323</v>
      </c>
      <c r="B187">
        <v>3</v>
      </c>
      <c r="C187" s="31">
        <f t="shared" si="11"/>
        <v>45323</v>
      </c>
      <c r="D187" s="16">
        <f t="shared" si="13"/>
        <v>3</v>
      </c>
    </row>
    <row r="188" spans="1:4">
      <c r="A188" s="31">
        <v>45324</v>
      </c>
      <c r="B188">
        <v>1</v>
      </c>
      <c r="C188" s="31">
        <f t="shared" si="11"/>
        <v>45324</v>
      </c>
      <c r="D188" s="16">
        <f t="shared" si="13"/>
        <v>1</v>
      </c>
    </row>
    <row r="189" spans="1:4">
      <c r="A189" s="31">
        <v>45325</v>
      </c>
      <c r="B189">
        <v>1</v>
      </c>
      <c r="C189" s="31">
        <f t="shared" si="11"/>
        <v>45325</v>
      </c>
      <c r="D189" s="16">
        <f t="shared" si="13"/>
        <v>1</v>
      </c>
    </row>
    <row r="190" spans="1:4">
      <c r="A190" s="31">
        <v>45326</v>
      </c>
      <c r="B190">
        <v>3</v>
      </c>
      <c r="C190" s="31">
        <f t="shared" si="11"/>
        <v>45326</v>
      </c>
      <c r="D190" s="16">
        <f t="shared" si="13"/>
        <v>3</v>
      </c>
    </row>
    <row r="191" spans="1:4">
      <c r="A191" s="31" t="s">
        <v>126</v>
      </c>
      <c r="B191">
        <v>70</v>
      </c>
      <c r="C191" s="31" t="str">
        <f t="shared" si="11"/>
        <v>Grand Total</v>
      </c>
      <c r="D191" s="16">
        <f t="shared" si="13"/>
        <v>70</v>
      </c>
    </row>
    <row r="194" spans="1:7">
      <c r="A194" s="14" t="s">
        <v>51</v>
      </c>
      <c r="B194" t="s">
        <v>113</v>
      </c>
    </row>
    <row r="195" spans="1:7">
      <c r="A195" t="s">
        <v>115</v>
      </c>
      <c r="B195">
        <v>11</v>
      </c>
      <c r="C195" t="str">
        <f>A195</f>
        <v>Sunday</v>
      </c>
      <c r="D195" s="16">
        <f>B195</f>
        <v>11</v>
      </c>
      <c r="F195" t="str">
        <f>C195</f>
        <v>Sunday</v>
      </c>
      <c r="G195" s="15">
        <f>D195/COUNT($D$195:$D$201)</f>
        <v>1.5714285714285714</v>
      </c>
    </row>
    <row r="196" spans="1:7">
      <c r="A196" t="s">
        <v>120</v>
      </c>
      <c r="B196">
        <v>11</v>
      </c>
      <c r="C196" t="str">
        <f>A196</f>
        <v>Thursday</v>
      </c>
      <c r="D196" s="16">
        <f>B196</f>
        <v>11</v>
      </c>
      <c r="F196" t="str">
        <f t="shared" ref="F196:F201" si="14">C196</f>
        <v>Thursday</v>
      </c>
      <c r="G196" s="15">
        <f t="shared" ref="G196:G201" si="15">D196/COUNT($D$195:$D$201)</f>
        <v>1.5714285714285714</v>
      </c>
    </row>
    <row r="197" spans="1:7">
      <c r="A197" t="s">
        <v>118</v>
      </c>
      <c r="B197">
        <v>10</v>
      </c>
      <c r="C197" t="str">
        <f t="shared" ref="C197:C202" si="16">A197</f>
        <v>Tuesday</v>
      </c>
      <c r="D197" s="16">
        <f t="shared" ref="D197:D202" si="17">B197</f>
        <v>10</v>
      </c>
      <c r="F197" t="str">
        <f t="shared" si="14"/>
        <v>Tuesday</v>
      </c>
      <c r="G197" s="15">
        <f t="shared" si="15"/>
        <v>1.4285714285714286</v>
      </c>
    </row>
    <row r="198" spans="1:7">
      <c r="A198" t="s">
        <v>116</v>
      </c>
      <c r="B198">
        <v>10</v>
      </c>
      <c r="C198" t="str">
        <f t="shared" si="16"/>
        <v>Monday</v>
      </c>
      <c r="D198" s="16">
        <f t="shared" si="17"/>
        <v>10</v>
      </c>
      <c r="F198" t="str">
        <f t="shared" si="14"/>
        <v>Monday</v>
      </c>
      <c r="G198" s="15">
        <f t="shared" si="15"/>
        <v>1.4285714285714286</v>
      </c>
    </row>
    <row r="199" spans="1:7">
      <c r="A199" t="s">
        <v>119</v>
      </c>
      <c r="B199">
        <v>10</v>
      </c>
      <c r="C199" t="str">
        <f t="shared" si="16"/>
        <v>Wednesday</v>
      </c>
      <c r="D199" s="16">
        <f t="shared" si="17"/>
        <v>10</v>
      </c>
      <c r="F199" t="str">
        <f t="shared" si="14"/>
        <v>Wednesday</v>
      </c>
      <c r="G199" s="15">
        <f t="shared" si="15"/>
        <v>1.4285714285714286</v>
      </c>
    </row>
    <row r="200" spans="1:7">
      <c r="A200" t="s">
        <v>124</v>
      </c>
      <c r="B200">
        <v>9</v>
      </c>
      <c r="C200" t="str">
        <f t="shared" si="16"/>
        <v>Saturday</v>
      </c>
      <c r="D200" s="16">
        <f t="shared" si="17"/>
        <v>9</v>
      </c>
      <c r="F200" t="str">
        <f t="shared" si="14"/>
        <v>Saturday</v>
      </c>
      <c r="G200" s="15">
        <f t="shared" si="15"/>
        <v>1.2857142857142858</v>
      </c>
    </row>
    <row r="201" spans="1:7">
      <c r="A201" t="s">
        <v>123</v>
      </c>
      <c r="B201">
        <v>9</v>
      </c>
      <c r="C201" t="str">
        <f t="shared" si="16"/>
        <v>Friday</v>
      </c>
      <c r="D201" s="16">
        <f t="shared" si="17"/>
        <v>9</v>
      </c>
      <c r="F201" t="str">
        <f t="shared" si="14"/>
        <v>Friday</v>
      </c>
      <c r="G201" s="15">
        <f t="shared" si="15"/>
        <v>1.2857142857142858</v>
      </c>
    </row>
    <row r="202" spans="1:7">
      <c r="A202" t="s">
        <v>126</v>
      </c>
      <c r="B202">
        <v>70</v>
      </c>
      <c r="C202" t="str">
        <f t="shared" si="16"/>
        <v>Grand Total</v>
      </c>
      <c r="D202" s="10">
        <f t="shared" si="17"/>
        <v>70</v>
      </c>
    </row>
    <row r="205" spans="1:7">
      <c r="A205" s="14" t="s">
        <v>45</v>
      </c>
      <c r="B205" t="s">
        <v>112</v>
      </c>
    </row>
    <row r="206" spans="1:7">
      <c r="A206" s="31">
        <v>45292</v>
      </c>
      <c r="B206" s="10">
        <v>142.96699999999998</v>
      </c>
      <c r="C206" s="31">
        <f>A206</f>
        <v>45292</v>
      </c>
      <c r="D206" s="16">
        <f>B206</f>
        <v>142.96699999999998</v>
      </c>
    </row>
    <row r="207" spans="1:7">
      <c r="A207" s="31">
        <v>45293</v>
      </c>
      <c r="B207" s="10">
        <v>417.923</v>
      </c>
      <c r="C207" s="31">
        <f t="shared" ref="C207:C241" si="18">A207</f>
        <v>45293</v>
      </c>
      <c r="D207" s="16">
        <f t="shared" ref="D207:D241" si="19">B207</f>
        <v>417.923</v>
      </c>
    </row>
    <row r="208" spans="1:7">
      <c r="A208" s="31">
        <v>45294</v>
      </c>
      <c r="B208" s="10">
        <v>340.96699999999998</v>
      </c>
      <c r="C208" s="31">
        <f t="shared" si="18"/>
        <v>45294</v>
      </c>
      <c r="D208" s="16">
        <f t="shared" si="19"/>
        <v>340.96699999999998</v>
      </c>
    </row>
    <row r="209" spans="1:4">
      <c r="A209" s="31">
        <v>45295</v>
      </c>
      <c r="B209" s="10">
        <v>285.94500000000005</v>
      </c>
      <c r="C209" s="31">
        <f t="shared" si="18"/>
        <v>45295</v>
      </c>
      <c r="D209" s="16">
        <f t="shared" si="19"/>
        <v>285.94500000000005</v>
      </c>
    </row>
    <row r="210" spans="1:4">
      <c r="A210" s="31">
        <v>45296</v>
      </c>
      <c r="B210" s="10">
        <v>318.97800000000001</v>
      </c>
      <c r="C210" s="31">
        <f t="shared" si="18"/>
        <v>45296</v>
      </c>
      <c r="D210" s="16">
        <f t="shared" si="19"/>
        <v>318.97800000000001</v>
      </c>
    </row>
    <row r="211" spans="1:4">
      <c r="A211" s="31">
        <v>45297</v>
      </c>
      <c r="B211" s="10">
        <v>340.923</v>
      </c>
      <c r="C211" s="31">
        <f t="shared" si="18"/>
        <v>45297</v>
      </c>
      <c r="D211" s="16">
        <f t="shared" si="19"/>
        <v>340.923</v>
      </c>
    </row>
    <row r="212" spans="1:4">
      <c r="A212" s="31">
        <v>45298</v>
      </c>
      <c r="B212" s="10">
        <v>307.95600000000002</v>
      </c>
      <c r="C212" s="31">
        <f t="shared" si="18"/>
        <v>45298</v>
      </c>
      <c r="D212" s="16">
        <f t="shared" si="19"/>
        <v>307.95600000000002</v>
      </c>
    </row>
    <row r="213" spans="1:4">
      <c r="A213" s="31">
        <v>45299</v>
      </c>
      <c r="B213" s="10">
        <v>252.94499999999999</v>
      </c>
      <c r="C213" s="31">
        <f t="shared" si="18"/>
        <v>45299</v>
      </c>
      <c r="D213" s="16">
        <f t="shared" si="19"/>
        <v>252.94499999999999</v>
      </c>
    </row>
    <row r="214" spans="1:4">
      <c r="A214" s="31">
        <v>45300</v>
      </c>
      <c r="B214" s="10">
        <v>285.94500000000005</v>
      </c>
      <c r="C214" s="31">
        <f t="shared" si="18"/>
        <v>45300</v>
      </c>
      <c r="D214" s="16">
        <f t="shared" si="19"/>
        <v>285.94500000000005</v>
      </c>
    </row>
    <row r="215" spans="1:4">
      <c r="A215" s="31">
        <v>45301</v>
      </c>
      <c r="B215" s="10">
        <v>384.93399999999997</v>
      </c>
      <c r="C215" s="31">
        <f t="shared" si="18"/>
        <v>45301</v>
      </c>
      <c r="D215" s="16">
        <f t="shared" si="19"/>
        <v>384.93399999999997</v>
      </c>
    </row>
    <row r="216" spans="1:4">
      <c r="A216" s="31">
        <v>45302</v>
      </c>
      <c r="B216" s="10">
        <v>340.94500000000005</v>
      </c>
      <c r="C216" s="31">
        <f t="shared" si="18"/>
        <v>45302</v>
      </c>
      <c r="D216" s="16">
        <f>B216</f>
        <v>340.94500000000005</v>
      </c>
    </row>
    <row r="217" spans="1:4">
      <c r="A217" s="31">
        <v>45303</v>
      </c>
      <c r="B217" s="10">
        <v>230.94499999999999</v>
      </c>
      <c r="C217" s="31">
        <f t="shared" si="18"/>
        <v>45303</v>
      </c>
      <c r="D217" s="16">
        <f t="shared" si="19"/>
        <v>230.94499999999999</v>
      </c>
    </row>
    <row r="218" spans="1:4">
      <c r="A218" s="31">
        <v>45304</v>
      </c>
      <c r="B218" s="10">
        <v>318.96699999999998</v>
      </c>
      <c r="C218" s="31">
        <f t="shared" si="18"/>
        <v>45304</v>
      </c>
      <c r="D218" s="16">
        <f t="shared" si="19"/>
        <v>318.96699999999998</v>
      </c>
    </row>
    <row r="219" spans="1:4">
      <c r="A219" s="31">
        <v>45305</v>
      </c>
      <c r="B219" s="10">
        <v>351.95600000000002</v>
      </c>
      <c r="C219" s="31">
        <f t="shared" si="18"/>
        <v>45305</v>
      </c>
      <c r="D219" s="16">
        <f t="shared" si="19"/>
        <v>351.95600000000002</v>
      </c>
    </row>
    <row r="220" spans="1:4">
      <c r="A220" s="31">
        <v>45306</v>
      </c>
      <c r="B220" s="10">
        <v>340.923</v>
      </c>
      <c r="C220" s="31">
        <f t="shared" si="18"/>
        <v>45306</v>
      </c>
      <c r="D220" s="16">
        <f t="shared" si="19"/>
        <v>340.923</v>
      </c>
    </row>
    <row r="221" spans="1:4">
      <c r="A221" s="31">
        <v>45307</v>
      </c>
      <c r="B221" s="10">
        <v>307.95600000000002</v>
      </c>
      <c r="C221" s="31">
        <f t="shared" si="18"/>
        <v>45307</v>
      </c>
      <c r="D221" s="16">
        <f t="shared" si="19"/>
        <v>307.95600000000002</v>
      </c>
    </row>
    <row r="222" spans="1:4">
      <c r="A222" s="31">
        <v>45308</v>
      </c>
      <c r="B222" s="10">
        <v>252.94499999999999</v>
      </c>
      <c r="C222" s="31">
        <f t="shared" si="18"/>
        <v>45308</v>
      </c>
      <c r="D222" s="16">
        <f t="shared" si="19"/>
        <v>252.94499999999999</v>
      </c>
    </row>
    <row r="223" spans="1:4">
      <c r="A223" s="31">
        <v>45309</v>
      </c>
      <c r="B223" s="10">
        <v>285.94500000000005</v>
      </c>
      <c r="C223" s="31">
        <f t="shared" si="18"/>
        <v>45309</v>
      </c>
      <c r="D223" s="16">
        <f t="shared" si="19"/>
        <v>285.94500000000005</v>
      </c>
    </row>
    <row r="224" spans="1:4">
      <c r="A224" s="31">
        <v>45310</v>
      </c>
      <c r="B224" s="10">
        <v>384.93399999999997</v>
      </c>
      <c r="C224" s="31">
        <f t="shared" si="18"/>
        <v>45310</v>
      </c>
      <c r="D224" s="16">
        <f t="shared" si="19"/>
        <v>384.93399999999997</v>
      </c>
    </row>
    <row r="225" spans="1:4">
      <c r="A225" s="31">
        <v>45311</v>
      </c>
      <c r="B225" s="10">
        <v>340.94500000000005</v>
      </c>
      <c r="C225" s="31">
        <f t="shared" si="18"/>
        <v>45311</v>
      </c>
      <c r="D225" s="16">
        <f t="shared" si="19"/>
        <v>340.94500000000005</v>
      </c>
    </row>
    <row r="226" spans="1:4">
      <c r="A226" s="31">
        <v>45312</v>
      </c>
      <c r="B226" s="10">
        <v>230.94499999999999</v>
      </c>
      <c r="C226" s="31">
        <f t="shared" si="18"/>
        <v>45312</v>
      </c>
      <c r="D226" s="16">
        <f t="shared" si="19"/>
        <v>230.94499999999999</v>
      </c>
    </row>
    <row r="227" spans="1:4">
      <c r="A227" s="31">
        <v>45313</v>
      </c>
      <c r="B227" s="10">
        <v>318.96699999999998</v>
      </c>
      <c r="C227" s="31">
        <f t="shared" si="18"/>
        <v>45313</v>
      </c>
      <c r="D227" s="16">
        <f t="shared" si="19"/>
        <v>318.96699999999998</v>
      </c>
    </row>
    <row r="228" spans="1:4">
      <c r="A228" s="31">
        <v>45314</v>
      </c>
      <c r="B228" s="10">
        <v>351.95600000000002</v>
      </c>
      <c r="C228" s="31">
        <f t="shared" si="18"/>
        <v>45314</v>
      </c>
      <c r="D228" s="16">
        <f t="shared" si="19"/>
        <v>351.95600000000002</v>
      </c>
    </row>
    <row r="229" spans="1:4">
      <c r="A229" s="31">
        <v>45315</v>
      </c>
      <c r="B229" s="10">
        <v>340.923</v>
      </c>
      <c r="C229" s="31">
        <f t="shared" si="18"/>
        <v>45315</v>
      </c>
      <c r="D229" s="16">
        <f t="shared" si="19"/>
        <v>340.923</v>
      </c>
    </row>
    <row r="230" spans="1:4">
      <c r="A230" s="31">
        <v>45316</v>
      </c>
      <c r="B230" s="10">
        <v>307.95600000000002</v>
      </c>
      <c r="C230" s="31">
        <f t="shared" si="18"/>
        <v>45316</v>
      </c>
      <c r="D230" s="16">
        <f t="shared" si="19"/>
        <v>307.95600000000002</v>
      </c>
    </row>
    <row r="231" spans="1:4">
      <c r="A231" s="31">
        <v>45317</v>
      </c>
      <c r="B231" s="10">
        <v>252.94499999999999</v>
      </c>
      <c r="C231" s="31">
        <f t="shared" si="18"/>
        <v>45317</v>
      </c>
      <c r="D231" s="16">
        <f t="shared" si="19"/>
        <v>252.94499999999999</v>
      </c>
    </row>
    <row r="232" spans="1:4">
      <c r="A232" s="31">
        <v>45318</v>
      </c>
      <c r="B232" s="10">
        <v>285.94500000000005</v>
      </c>
      <c r="C232" s="31">
        <f t="shared" si="18"/>
        <v>45318</v>
      </c>
      <c r="D232" s="16">
        <f t="shared" si="19"/>
        <v>285.94500000000005</v>
      </c>
    </row>
    <row r="233" spans="1:4">
      <c r="A233" s="31">
        <v>45319</v>
      </c>
      <c r="B233" s="10">
        <v>384.93399999999997</v>
      </c>
      <c r="C233" s="31">
        <f t="shared" si="18"/>
        <v>45319</v>
      </c>
      <c r="D233" s="16">
        <f t="shared" si="19"/>
        <v>384.93399999999997</v>
      </c>
    </row>
    <row r="234" spans="1:4">
      <c r="A234" s="31">
        <v>45320</v>
      </c>
      <c r="B234" s="10">
        <v>340.94500000000005</v>
      </c>
      <c r="C234" s="31">
        <f t="shared" si="18"/>
        <v>45320</v>
      </c>
      <c r="D234" s="16">
        <f t="shared" si="19"/>
        <v>340.94500000000005</v>
      </c>
    </row>
    <row r="235" spans="1:4">
      <c r="A235" s="31">
        <v>45321</v>
      </c>
      <c r="B235" s="10">
        <v>230.94499999999999</v>
      </c>
      <c r="C235" s="31">
        <f t="shared" si="18"/>
        <v>45321</v>
      </c>
      <c r="D235" s="16">
        <f t="shared" si="19"/>
        <v>230.94499999999999</v>
      </c>
    </row>
    <row r="236" spans="1:4">
      <c r="A236" s="31">
        <v>45322</v>
      </c>
      <c r="B236" s="10">
        <v>318.96699999999998</v>
      </c>
      <c r="C236" s="31">
        <f t="shared" si="18"/>
        <v>45322</v>
      </c>
      <c r="D236" s="16">
        <f t="shared" si="19"/>
        <v>318.96699999999998</v>
      </c>
    </row>
    <row r="237" spans="1:4">
      <c r="A237" s="31">
        <v>45323</v>
      </c>
      <c r="B237" s="10">
        <v>516.90100000000007</v>
      </c>
      <c r="C237" s="31">
        <f t="shared" si="18"/>
        <v>45323</v>
      </c>
      <c r="D237" s="16">
        <f t="shared" si="19"/>
        <v>516.90100000000007</v>
      </c>
    </row>
    <row r="238" spans="1:4">
      <c r="A238" s="31">
        <v>45324</v>
      </c>
      <c r="B238" s="10">
        <v>175.97800000000001</v>
      </c>
      <c r="C238" s="31">
        <f t="shared" si="18"/>
        <v>45324</v>
      </c>
      <c r="D238" s="16">
        <f t="shared" si="19"/>
        <v>175.97800000000001</v>
      </c>
    </row>
    <row r="239" spans="1:4">
      <c r="A239" s="31">
        <v>45325</v>
      </c>
      <c r="B239" s="10">
        <v>164.96700000000001</v>
      </c>
      <c r="C239" s="31">
        <f t="shared" si="18"/>
        <v>45325</v>
      </c>
      <c r="D239" s="16">
        <f t="shared" si="19"/>
        <v>164.96700000000001</v>
      </c>
    </row>
    <row r="240" spans="1:4">
      <c r="A240" s="31">
        <v>45326</v>
      </c>
      <c r="B240" s="10">
        <v>395.93399999999997</v>
      </c>
      <c r="C240" s="31">
        <f t="shared" si="18"/>
        <v>45326</v>
      </c>
      <c r="D240" s="16">
        <f t="shared" si="19"/>
        <v>395.93399999999997</v>
      </c>
    </row>
    <row r="241" spans="1:4">
      <c r="A241" s="31" t="s">
        <v>126</v>
      </c>
      <c r="B241" s="10">
        <v>10855.151999999996</v>
      </c>
      <c r="C241" s="31" t="str">
        <f t="shared" si="18"/>
        <v>Grand Total</v>
      </c>
      <c r="D241" s="16">
        <f t="shared" si="19"/>
        <v>10855.151999999996</v>
      </c>
    </row>
    <row r="244" spans="1:4">
      <c r="A244" t="s">
        <v>138</v>
      </c>
    </row>
    <row r="245" spans="1:4">
      <c r="A245" s="10">
        <v>5909.2999999999902</v>
      </c>
      <c r="D245" s="16">
        <f>B245</f>
        <v>0</v>
      </c>
    </row>
    <row r="246" spans="1:4">
      <c r="D246" s="16">
        <f>B246</f>
        <v>0</v>
      </c>
    </row>
    <row r="247" spans="1:4">
      <c r="D247" s="16">
        <f t="shared" ref="D247:D252" si="20">B247</f>
        <v>0</v>
      </c>
    </row>
    <row r="248" spans="1:4">
      <c r="D248" s="16">
        <f t="shared" si="20"/>
        <v>0</v>
      </c>
    </row>
    <row r="249" spans="1:4">
      <c r="D249" s="16">
        <f t="shared" si="20"/>
        <v>0</v>
      </c>
    </row>
    <row r="250" spans="1:4">
      <c r="D250" s="16">
        <f t="shared" si="20"/>
        <v>0</v>
      </c>
    </row>
    <row r="251" spans="1:4">
      <c r="D251" s="16">
        <f t="shared" si="20"/>
        <v>0</v>
      </c>
    </row>
    <row r="252" spans="1:4">
      <c r="D252" s="10">
        <f t="shared" si="20"/>
        <v>0</v>
      </c>
    </row>
    <row r="256" spans="1:4">
      <c r="A256" s="14" t="s">
        <v>45</v>
      </c>
      <c r="B256" t="s">
        <v>117</v>
      </c>
    </row>
    <row r="257" spans="1:4">
      <c r="A257" s="31">
        <v>45292</v>
      </c>
      <c r="B257" s="10">
        <v>3</v>
      </c>
      <c r="C257" s="31">
        <f>A257</f>
        <v>45292</v>
      </c>
      <c r="D257" s="16">
        <f>B257</f>
        <v>3</v>
      </c>
    </row>
    <row r="258" spans="1:4">
      <c r="A258" s="31">
        <v>45293</v>
      </c>
      <c r="B258" s="10">
        <v>7</v>
      </c>
      <c r="C258" s="31">
        <f t="shared" ref="C258:C291" si="21">A258</f>
        <v>45293</v>
      </c>
      <c r="D258" s="16">
        <f t="shared" ref="D258:D291" si="22">B258</f>
        <v>7</v>
      </c>
    </row>
    <row r="259" spans="1:4">
      <c r="A259" s="31">
        <v>45294</v>
      </c>
      <c r="B259" s="10">
        <v>3</v>
      </c>
      <c r="C259" s="31">
        <f t="shared" si="21"/>
        <v>45294</v>
      </c>
      <c r="D259" s="16">
        <f t="shared" si="22"/>
        <v>3</v>
      </c>
    </row>
    <row r="260" spans="1:4">
      <c r="A260" s="31">
        <v>45295</v>
      </c>
      <c r="B260" s="10">
        <v>5</v>
      </c>
      <c r="C260" s="31">
        <f t="shared" si="21"/>
        <v>45295</v>
      </c>
      <c r="D260" s="16">
        <f t="shared" si="22"/>
        <v>5</v>
      </c>
    </row>
    <row r="261" spans="1:4">
      <c r="A261" s="31">
        <v>45296</v>
      </c>
      <c r="B261" s="10">
        <v>2</v>
      </c>
      <c r="C261" s="31">
        <f t="shared" si="21"/>
        <v>45296</v>
      </c>
      <c r="D261" s="16">
        <f t="shared" si="22"/>
        <v>2</v>
      </c>
    </row>
    <row r="262" spans="1:4">
      <c r="A262" s="31">
        <v>45297</v>
      </c>
      <c r="B262" s="10">
        <v>7</v>
      </c>
      <c r="C262" s="31">
        <f t="shared" si="21"/>
        <v>45297</v>
      </c>
      <c r="D262" s="16">
        <f t="shared" si="22"/>
        <v>7</v>
      </c>
    </row>
    <row r="263" spans="1:4">
      <c r="A263" s="31">
        <v>45298</v>
      </c>
      <c r="B263" s="10">
        <v>4</v>
      </c>
      <c r="C263" s="31">
        <f t="shared" si="21"/>
        <v>45298</v>
      </c>
      <c r="D263" s="16">
        <f t="shared" si="22"/>
        <v>4</v>
      </c>
    </row>
    <row r="264" spans="1:4">
      <c r="A264" s="31">
        <v>45299</v>
      </c>
      <c r="B264" s="10">
        <v>5</v>
      </c>
      <c r="C264" s="31">
        <f t="shared" si="21"/>
        <v>45299</v>
      </c>
      <c r="D264" s="16">
        <f t="shared" si="22"/>
        <v>5</v>
      </c>
    </row>
    <row r="265" spans="1:4">
      <c r="A265" s="31">
        <v>45300</v>
      </c>
      <c r="B265" s="10">
        <v>5</v>
      </c>
      <c r="C265" s="31">
        <f t="shared" si="21"/>
        <v>45300</v>
      </c>
      <c r="D265" s="16">
        <f t="shared" si="22"/>
        <v>5</v>
      </c>
    </row>
    <row r="266" spans="1:4">
      <c r="A266" s="31">
        <v>45301</v>
      </c>
      <c r="B266" s="10">
        <v>6</v>
      </c>
      <c r="C266" s="31">
        <f t="shared" si="21"/>
        <v>45301</v>
      </c>
      <c r="D266" s="16">
        <f t="shared" si="22"/>
        <v>6</v>
      </c>
    </row>
    <row r="267" spans="1:4">
      <c r="A267" s="31">
        <v>45302</v>
      </c>
      <c r="B267" s="10">
        <v>5</v>
      </c>
      <c r="C267" s="31">
        <f t="shared" si="21"/>
        <v>45302</v>
      </c>
      <c r="D267" s="16">
        <f t="shared" si="22"/>
        <v>5</v>
      </c>
    </row>
    <row r="268" spans="1:4">
      <c r="A268" s="31">
        <v>45303</v>
      </c>
      <c r="B268" s="10">
        <v>5</v>
      </c>
      <c r="C268" s="31">
        <f t="shared" si="21"/>
        <v>45303</v>
      </c>
      <c r="D268" s="16">
        <f t="shared" si="22"/>
        <v>5</v>
      </c>
    </row>
    <row r="269" spans="1:4">
      <c r="A269" s="31">
        <v>45304</v>
      </c>
      <c r="B269" s="10">
        <v>3</v>
      </c>
      <c r="C269" s="31">
        <f t="shared" si="21"/>
        <v>45304</v>
      </c>
      <c r="D269" s="16">
        <f t="shared" si="22"/>
        <v>3</v>
      </c>
    </row>
    <row r="270" spans="1:4">
      <c r="A270" s="31">
        <v>45305</v>
      </c>
      <c r="B270" s="10">
        <v>4</v>
      </c>
      <c r="C270" s="31">
        <f t="shared" si="21"/>
        <v>45305</v>
      </c>
      <c r="D270" s="16">
        <f t="shared" si="22"/>
        <v>4</v>
      </c>
    </row>
    <row r="271" spans="1:4">
      <c r="A271" s="31">
        <v>45306</v>
      </c>
      <c r="B271" s="10">
        <v>7</v>
      </c>
      <c r="C271" s="31">
        <f t="shared" si="21"/>
        <v>45306</v>
      </c>
      <c r="D271" s="16">
        <f t="shared" si="22"/>
        <v>7</v>
      </c>
    </row>
    <row r="272" spans="1:4">
      <c r="A272" s="31">
        <v>45307</v>
      </c>
      <c r="B272" s="10">
        <v>4</v>
      </c>
      <c r="C272" s="31">
        <f t="shared" si="21"/>
        <v>45307</v>
      </c>
      <c r="D272" s="16">
        <f t="shared" si="22"/>
        <v>4</v>
      </c>
    </row>
    <row r="273" spans="1:4">
      <c r="A273" s="31">
        <v>45308</v>
      </c>
      <c r="B273" s="10">
        <v>5</v>
      </c>
      <c r="C273" s="31">
        <f t="shared" si="21"/>
        <v>45308</v>
      </c>
      <c r="D273" s="16">
        <f t="shared" si="22"/>
        <v>5</v>
      </c>
    </row>
    <row r="274" spans="1:4">
      <c r="A274" s="31">
        <v>45309</v>
      </c>
      <c r="B274" s="10">
        <v>5</v>
      </c>
      <c r="C274" s="31">
        <f t="shared" si="21"/>
        <v>45309</v>
      </c>
      <c r="D274" s="16">
        <f t="shared" si="22"/>
        <v>5</v>
      </c>
    </row>
    <row r="275" spans="1:4">
      <c r="A275" s="31">
        <v>45310</v>
      </c>
      <c r="B275" s="10">
        <v>6</v>
      </c>
      <c r="C275" s="31">
        <f t="shared" si="21"/>
        <v>45310</v>
      </c>
      <c r="D275" s="16">
        <f t="shared" si="22"/>
        <v>6</v>
      </c>
    </row>
    <row r="276" spans="1:4">
      <c r="A276" s="31">
        <v>45311</v>
      </c>
      <c r="B276" s="10">
        <v>5</v>
      </c>
      <c r="C276" s="31">
        <f t="shared" si="21"/>
        <v>45311</v>
      </c>
      <c r="D276" s="16">
        <f t="shared" si="22"/>
        <v>5</v>
      </c>
    </row>
    <row r="277" spans="1:4">
      <c r="A277" s="31">
        <v>45312</v>
      </c>
      <c r="B277" s="10">
        <v>5</v>
      </c>
      <c r="C277" s="31">
        <f t="shared" si="21"/>
        <v>45312</v>
      </c>
      <c r="D277" s="16">
        <f t="shared" si="22"/>
        <v>5</v>
      </c>
    </row>
    <row r="278" spans="1:4">
      <c r="A278" s="31">
        <v>45313</v>
      </c>
      <c r="B278" s="10">
        <v>3</v>
      </c>
      <c r="C278" s="31">
        <f t="shared" si="21"/>
        <v>45313</v>
      </c>
      <c r="D278" s="16">
        <f t="shared" si="22"/>
        <v>3</v>
      </c>
    </row>
    <row r="279" spans="1:4">
      <c r="A279" s="31">
        <v>45314</v>
      </c>
      <c r="B279" s="10">
        <v>4</v>
      </c>
      <c r="C279" s="31">
        <f t="shared" si="21"/>
        <v>45314</v>
      </c>
      <c r="D279" s="16">
        <f t="shared" si="22"/>
        <v>4</v>
      </c>
    </row>
    <row r="280" spans="1:4">
      <c r="A280" s="31">
        <v>45315</v>
      </c>
      <c r="B280" s="10">
        <v>7</v>
      </c>
      <c r="C280" s="31">
        <f t="shared" si="21"/>
        <v>45315</v>
      </c>
      <c r="D280" s="16">
        <f t="shared" si="22"/>
        <v>7</v>
      </c>
    </row>
    <row r="281" spans="1:4">
      <c r="A281" s="31">
        <v>45316</v>
      </c>
      <c r="B281" s="10">
        <v>4</v>
      </c>
      <c r="C281" s="31">
        <f t="shared" si="21"/>
        <v>45316</v>
      </c>
      <c r="D281" s="16">
        <f t="shared" si="22"/>
        <v>4</v>
      </c>
    </row>
    <row r="282" spans="1:4">
      <c r="A282" s="31">
        <v>45317</v>
      </c>
      <c r="B282" s="10">
        <v>5</v>
      </c>
      <c r="C282" s="31">
        <f t="shared" si="21"/>
        <v>45317</v>
      </c>
      <c r="D282" s="16">
        <f t="shared" si="22"/>
        <v>5</v>
      </c>
    </row>
    <row r="283" spans="1:4">
      <c r="A283" s="31">
        <v>45318</v>
      </c>
      <c r="B283" s="10">
        <v>5</v>
      </c>
      <c r="C283" s="31">
        <f t="shared" si="21"/>
        <v>45318</v>
      </c>
      <c r="D283" s="16">
        <f t="shared" si="22"/>
        <v>5</v>
      </c>
    </row>
    <row r="284" spans="1:4">
      <c r="A284" s="31">
        <v>45319</v>
      </c>
      <c r="B284" s="10">
        <v>6</v>
      </c>
      <c r="C284" s="31">
        <f t="shared" si="21"/>
        <v>45319</v>
      </c>
      <c r="D284" s="16">
        <f t="shared" si="22"/>
        <v>6</v>
      </c>
    </row>
    <row r="285" spans="1:4">
      <c r="A285" s="31">
        <v>45320</v>
      </c>
      <c r="B285" s="10">
        <v>5</v>
      </c>
      <c r="C285" s="31">
        <f t="shared" si="21"/>
        <v>45320</v>
      </c>
      <c r="D285" s="16">
        <f t="shared" si="22"/>
        <v>5</v>
      </c>
    </row>
    <row r="286" spans="1:4">
      <c r="A286" s="31">
        <v>45321</v>
      </c>
      <c r="B286" s="10">
        <v>5</v>
      </c>
      <c r="C286" s="31">
        <f t="shared" si="21"/>
        <v>45321</v>
      </c>
      <c r="D286" s="16">
        <f t="shared" si="22"/>
        <v>5</v>
      </c>
    </row>
    <row r="287" spans="1:4">
      <c r="A287" s="31">
        <v>45322</v>
      </c>
      <c r="B287" s="10">
        <v>3</v>
      </c>
      <c r="C287" s="31">
        <f t="shared" si="21"/>
        <v>45322</v>
      </c>
      <c r="D287" s="16">
        <f t="shared" si="22"/>
        <v>3</v>
      </c>
    </row>
    <row r="288" spans="1:4">
      <c r="A288" s="31">
        <v>45323</v>
      </c>
      <c r="B288" s="10">
        <v>9</v>
      </c>
      <c r="C288" s="31">
        <f t="shared" si="21"/>
        <v>45323</v>
      </c>
      <c r="D288" s="16">
        <f t="shared" si="22"/>
        <v>9</v>
      </c>
    </row>
    <row r="289" spans="1:5">
      <c r="A289" s="31">
        <v>45324</v>
      </c>
      <c r="B289" s="10">
        <v>2</v>
      </c>
      <c r="C289" s="31">
        <f t="shared" si="21"/>
        <v>45324</v>
      </c>
      <c r="D289" s="16">
        <f t="shared" si="22"/>
        <v>2</v>
      </c>
    </row>
    <row r="290" spans="1:5">
      <c r="A290" s="31">
        <v>45325</v>
      </c>
      <c r="B290" s="10">
        <v>3</v>
      </c>
      <c r="C290" s="31">
        <f t="shared" si="21"/>
        <v>45325</v>
      </c>
      <c r="D290" s="16">
        <f t="shared" si="22"/>
        <v>3</v>
      </c>
    </row>
    <row r="291" spans="1:5">
      <c r="A291" s="31">
        <v>45326</v>
      </c>
      <c r="B291" s="10">
        <v>6</v>
      </c>
      <c r="C291" s="31">
        <f t="shared" si="21"/>
        <v>45326</v>
      </c>
      <c r="D291" s="16">
        <f t="shared" si="22"/>
        <v>6</v>
      </c>
    </row>
    <row r="292" spans="1:5">
      <c r="A292" s="31" t="s">
        <v>126</v>
      </c>
      <c r="B292" s="10">
        <v>168</v>
      </c>
    </row>
    <row r="295" spans="1:5">
      <c r="A295" s="14" t="s">
        <v>46</v>
      </c>
      <c r="B295" t="s">
        <v>112</v>
      </c>
    </row>
    <row r="296" spans="1:5">
      <c r="A296" t="s">
        <v>62</v>
      </c>
      <c r="B296" s="10">
        <v>32.988999999999997</v>
      </c>
      <c r="C296" t="str">
        <f t="shared" ref="C296:D300" si="23">A296</f>
        <v>Jane Doe</v>
      </c>
      <c r="D296" s="10">
        <f t="shared" si="23"/>
        <v>32.988999999999997</v>
      </c>
    </row>
    <row r="297" spans="1:5">
      <c r="A297" t="s">
        <v>75</v>
      </c>
      <c r="B297" s="10">
        <v>87.956000000000003</v>
      </c>
      <c r="C297" t="str">
        <f t="shared" si="23"/>
        <v>Matthew Wilson</v>
      </c>
      <c r="D297" s="10">
        <f t="shared" si="23"/>
        <v>87.956000000000003</v>
      </c>
    </row>
    <row r="298" spans="1:5">
      <c r="A298" t="s">
        <v>92</v>
      </c>
      <c r="B298" s="10">
        <v>87.956000000000003</v>
      </c>
      <c r="C298" t="str">
        <f t="shared" si="23"/>
        <v>David Brown</v>
      </c>
      <c r="D298" s="10">
        <f t="shared" si="23"/>
        <v>87.956000000000003</v>
      </c>
    </row>
    <row r="299" spans="1:5">
      <c r="A299" t="s">
        <v>69</v>
      </c>
      <c r="B299" s="10">
        <v>98.989000000000004</v>
      </c>
      <c r="C299" t="str">
        <f t="shared" si="23"/>
        <v>Christopher Thomas</v>
      </c>
      <c r="D299" s="10">
        <f t="shared" si="23"/>
        <v>98.989000000000004</v>
      </c>
    </row>
    <row r="300" spans="1:5">
      <c r="A300" t="s">
        <v>61</v>
      </c>
      <c r="B300" s="10">
        <v>109.97799999999999</v>
      </c>
      <c r="C300" t="str">
        <f t="shared" si="23"/>
        <v>John Smith</v>
      </c>
      <c r="D300" s="10">
        <f t="shared" si="23"/>
        <v>109.97799999999999</v>
      </c>
    </row>
    <row r="301" spans="1:5">
      <c r="A301" t="s">
        <v>126</v>
      </c>
      <c r="B301" s="10">
        <v>417.86799999999999</v>
      </c>
    </row>
    <row r="304" spans="1:5">
      <c r="A304" s="14" t="s">
        <v>46</v>
      </c>
      <c r="B304" t="s">
        <v>139</v>
      </c>
      <c r="C304" t="s">
        <v>140</v>
      </c>
      <c r="D304" t="s">
        <v>141</v>
      </c>
      <c r="E304" t="s">
        <v>142</v>
      </c>
    </row>
    <row r="305" spans="1:5">
      <c r="A305" t="s">
        <v>76</v>
      </c>
      <c r="B305" s="10">
        <v>164.989</v>
      </c>
      <c r="C305">
        <v>1</v>
      </c>
      <c r="D305" s="31">
        <v>45303</v>
      </c>
      <c r="E305" s="31">
        <v>45299</v>
      </c>
    </row>
    <row r="306" spans="1:5">
      <c r="A306" t="s">
        <v>82</v>
      </c>
      <c r="B306" s="10">
        <v>164.96700000000001</v>
      </c>
      <c r="C306">
        <v>1</v>
      </c>
      <c r="D306" s="31">
        <v>45306</v>
      </c>
      <c r="E306" s="31">
        <v>45302</v>
      </c>
    </row>
    <row r="307" spans="1:5">
      <c r="A307" t="s">
        <v>83</v>
      </c>
      <c r="B307" s="10">
        <v>142.989</v>
      </c>
      <c r="C307">
        <v>1</v>
      </c>
      <c r="D307" s="31">
        <v>45308</v>
      </c>
      <c r="E307" s="31">
        <v>45303</v>
      </c>
    </row>
    <row r="308" spans="1:5">
      <c r="A308" t="s">
        <v>69</v>
      </c>
      <c r="B308" s="10">
        <v>98.989000000000004</v>
      </c>
      <c r="C308">
        <v>1</v>
      </c>
      <c r="D308" s="31">
        <v>45297</v>
      </c>
      <c r="E308" s="31">
        <v>45296</v>
      </c>
    </row>
    <row r="309" spans="1:5">
      <c r="A309" t="s">
        <v>107</v>
      </c>
      <c r="B309" s="10">
        <v>241.93400000000003</v>
      </c>
      <c r="C309">
        <v>2</v>
      </c>
      <c r="D309" s="31">
        <v>45330</v>
      </c>
      <c r="E309" s="31">
        <v>45326</v>
      </c>
    </row>
    <row r="310" spans="1:5">
      <c r="A310" t="s">
        <v>96</v>
      </c>
      <c r="B310" s="10">
        <v>219.989</v>
      </c>
      <c r="C310">
        <v>1</v>
      </c>
      <c r="D310" s="31">
        <v>45311</v>
      </c>
      <c r="E310" s="31">
        <v>45310</v>
      </c>
    </row>
    <row r="311" spans="1:5">
      <c r="A311" t="s">
        <v>100</v>
      </c>
      <c r="B311" s="10">
        <v>296.95600000000002</v>
      </c>
      <c r="C311">
        <v>2</v>
      </c>
      <c r="D311" s="31">
        <v>45324</v>
      </c>
      <c r="E311" s="31">
        <v>45322</v>
      </c>
    </row>
    <row r="312" spans="1:5">
      <c r="A312" t="s">
        <v>67</v>
      </c>
      <c r="B312" s="10">
        <v>131.96700000000001</v>
      </c>
      <c r="C312">
        <v>1</v>
      </c>
      <c r="D312" s="31">
        <v>45297</v>
      </c>
      <c r="E312" s="31">
        <v>45295</v>
      </c>
    </row>
    <row r="313" spans="1:5">
      <c r="A313" t="s">
        <v>79</v>
      </c>
      <c r="B313" s="10">
        <v>219.989</v>
      </c>
      <c r="C313">
        <v>1</v>
      </c>
      <c r="D313" s="31">
        <v>45302</v>
      </c>
      <c r="E313" s="31">
        <v>45301</v>
      </c>
    </row>
    <row r="314" spans="1:5">
      <c r="A314" t="s">
        <v>88</v>
      </c>
      <c r="B314" s="10">
        <v>164.94499999999999</v>
      </c>
      <c r="C314">
        <v>1</v>
      </c>
      <c r="D314" s="31">
        <v>45310</v>
      </c>
      <c r="E314" s="31">
        <v>45306</v>
      </c>
    </row>
    <row r="315" spans="1:5">
      <c r="A315" t="s">
        <v>92</v>
      </c>
      <c r="B315" s="10">
        <v>87.956000000000003</v>
      </c>
      <c r="C315">
        <v>1</v>
      </c>
      <c r="D315" s="31">
        <v>45310</v>
      </c>
      <c r="E315" s="31">
        <v>45308</v>
      </c>
    </row>
    <row r="316" spans="1:5">
      <c r="A316" t="s">
        <v>111</v>
      </c>
      <c r="B316" s="10">
        <v>175.97800000000001</v>
      </c>
      <c r="C316">
        <v>1</v>
      </c>
      <c r="D316" s="31">
        <v>45321</v>
      </c>
      <c r="E316" s="31">
        <v>45320</v>
      </c>
    </row>
    <row r="317" spans="1:5">
      <c r="A317" t="s">
        <v>103</v>
      </c>
      <c r="B317" s="10">
        <v>329.91200000000003</v>
      </c>
      <c r="C317">
        <v>2</v>
      </c>
      <c r="D317" s="31">
        <v>45325</v>
      </c>
      <c r="E317" s="31">
        <v>45323</v>
      </c>
    </row>
    <row r="318" spans="1:5">
      <c r="A318" t="s">
        <v>65</v>
      </c>
      <c r="B318" s="10">
        <v>472.96699999999998</v>
      </c>
      <c r="C318">
        <v>3</v>
      </c>
      <c r="D318" s="31">
        <v>45317</v>
      </c>
      <c r="E318" s="31">
        <v>45312</v>
      </c>
    </row>
    <row r="319" spans="1:5">
      <c r="A319" t="s">
        <v>64</v>
      </c>
      <c r="B319" s="10">
        <v>329.89000000000004</v>
      </c>
      <c r="C319">
        <v>3</v>
      </c>
      <c r="D319" s="31">
        <v>45323</v>
      </c>
      <c r="E319" s="31">
        <v>45321</v>
      </c>
    </row>
    <row r="320" spans="1:5">
      <c r="A320" t="s">
        <v>87</v>
      </c>
      <c r="B320" s="10">
        <v>219.989</v>
      </c>
      <c r="C320">
        <v>1</v>
      </c>
      <c r="D320" s="31">
        <v>45310</v>
      </c>
      <c r="E320" s="31">
        <v>45305</v>
      </c>
    </row>
    <row r="321" spans="1:5">
      <c r="A321" t="s">
        <v>106</v>
      </c>
      <c r="B321" s="10">
        <v>307.97800000000001</v>
      </c>
      <c r="C321">
        <v>2</v>
      </c>
      <c r="D321" s="31">
        <v>45327</v>
      </c>
      <c r="E321" s="31">
        <v>45326</v>
      </c>
    </row>
    <row r="322" spans="1:5">
      <c r="A322" t="s">
        <v>95</v>
      </c>
      <c r="B322" s="10">
        <v>131.96700000000001</v>
      </c>
      <c r="C322">
        <v>1</v>
      </c>
      <c r="D322" s="31">
        <v>45310</v>
      </c>
      <c r="E322" s="31">
        <v>45309</v>
      </c>
    </row>
    <row r="323" spans="1:5">
      <c r="A323" t="s">
        <v>77</v>
      </c>
      <c r="B323" s="10">
        <v>153.97800000000001</v>
      </c>
      <c r="C323">
        <v>1</v>
      </c>
      <c r="D323" s="31">
        <v>45305</v>
      </c>
      <c r="E323" s="31">
        <v>45300</v>
      </c>
    </row>
    <row r="324" spans="1:5">
      <c r="A324" t="s">
        <v>62</v>
      </c>
      <c r="B324" s="10">
        <v>32.988999999999997</v>
      </c>
      <c r="C324">
        <v>1</v>
      </c>
      <c r="D324" s="31">
        <v>45295</v>
      </c>
      <c r="E324" s="31">
        <v>45292</v>
      </c>
    </row>
    <row r="325" spans="1:5">
      <c r="A325" t="s">
        <v>80</v>
      </c>
      <c r="B325" s="10">
        <v>538.91200000000003</v>
      </c>
      <c r="C325">
        <v>3</v>
      </c>
      <c r="D325" s="31">
        <v>45326</v>
      </c>
      <c r="E325" s="31">
        <v>45322</v>
      </c>
    </row>
    <row r="326" spans="1:5">
      <c r="A326" t="s">
        <v>108</v>
      </c>
      <c r="B326" s="10">
        <v>296.95600000000002</v>
      </c>
      <c r="C326">
        <v>2</v>
      </c>
      <c r="D326" s="31">
        <v>45329</v>
      </c>
      <c r="E326" s="31">
        <v>45326</v>
      </c>
    </row>
    <row r="327" spans="1:5">
      <c r="A327" t="s">
        <v>89</v>
      </c>
      <c r="B327" s="10">
        <v>175.97800000000001</v>
      </c>
      <c r="C327">
        <v>1</v>
      </c>
      <c r="D327" s="31">
        <v>45310</v>
      </c>
      <c r="E327" s="31">
        <v>45306</v>
      </c>
    </row>
    <row r="328" spans="1:5">
      <c r="A328" t="s">
        <v>97</v>
      </c>
      <c r="B328" s="10">
        <v>164.94499999999999</v>
      </c>
      <c r="C328">
        <v>1</v>
      </c>
      <c r="D328" s="31">
        <v>45313</v>
      </c>
      <c r="E328" s="31">
        <v>45310</v>
      </c>
    </row>
    <row r="329" spans="1:5">
      <c r="A329" t="s">
        <v>74</v>
      </c>
      <c r="B329" s="10">
        <v>142.989</v>
      </c>
      <c r="C329">
        <v>1</v>
      </c>
      <c r="D329" s="31">
        <v>45303</v>
      </c>
      <c r="E329" s="31">
        <v>45298</v>
      </c>
    </row>
    <row r="330" spans="1:5">
      <c r="A330" t="s">
        <v>91</v>
      </c>
      <c r="B330" s="10">
        <v>142.989</v>
      </c>
      <c r="C330">
        <v>1</v>
      </c>
      <c r="D330" s="31">
        <v>45308</v>
      </c>
      <c r="E330" s="31">
        <v>45307</v>
      </c>
    </row>
    <row r="331" spans="1:5">
      <c r="A331" t="s">
        <v>84</v>
      </c>
      <c r="B331" s="10">
        <v>252.923</v>
      </c>
      <c r="C331">
        <v>2</v>
      </c>
      <c r="D331" s="31">
        <v>45312</v>
      </c>
      <c r="E331" s="31">
        <v>45311</v>
      </c>
    </row>
    <row r="332" spans="1:5">
      <c r="A332" t="s">
        <v>110</v>
      </c>
      <c r="B332" s="10">
        <v>164.94499999999999</v>
      </c>
      <c r="C332">
        <v>1</v>
      </c>
      <c r="D332" s="31">
        <v>45320</v>
      </c>
      <c r="E332" s="31">
        <v>45319</v>
      </c>
    </row>
    <row r="333" spans="1:5">
      <c r="A333" t="s">
        <v>102</v>
      </c>
      <c r="B333" s="10">
        <v>395.96699999999998</v>
      </c>
      <c r="C333">
        <v>2</v>
      </c>
      <c r="D333" s="31">
        <v>45327</v>
      </c>
      <c r="E333" s="31">
        <v>45323</v>
      </c>
    </row>
    <row r="334" spans="1:5">
      <c r="A334" t="s">
        <v>61</v>
      </c>
      <c r="B334" s="10">
        <v>109.97799999999999</v>
      </c>
      <c r="C334">
        <v>1</v>
      </c>
      <c r="D334" s="31">
        <v>45294</v>
      </c>
      <c r="E334" s="31">
        <v>45292</v>
      </c>
    </row>
    <row r="335" spans="1:5">
      <c r="A335" t="s">
        <v>70</v>
      </c>
      <c r="B335" s="10">
        <v>219.989</v>
      </c>
      <c r="C335">
        <v>1</v>
      </c>
      <c r="D335" s="31">
        <v>45299</v>
      </c>
      <c r="E335" s="31">
        <v>45296</v>
      </c>
    </row>
    <row r="336" spans="1:5">
      <c r="A336" t="s">
        <v>78</v>
      </c>
      <c r="B336" s="10">
        <v>131.96700000000001</v>
      </c>
      <c r="C336">
        <v>1</v>
      </c>
      <c r="D336" s="31">
        <v>45303</v>
      </c>
      <c r="E336" s="31">
        <v>45300</v>
      </c>
    </row>
    <row r="337" spans="1:5">
      <c r="A337" t="s">
        <v>66</v>
      </c>
      <c r="B337" s="10">
        <v>175.97800000000001</v>
      </c>
      <c r="C337">
        <v>1</v>
      </c>
      <c r="D337" s="31">
        <v>45297</v>
      </c>
      <c r="E337" s="31">
        <v>45294</v>
      </c>
    </row>
    <row r="338" spans="1:5">
      <c r="A338" t="s">
        <v>99</v>
      </c>
      <c r="B338" s="10">
        <v>307.97800000000001</v>
      </c>
      <c r="C338">
        <v>2</v>
      </c>
      <c r="D338" s="31">
        <v>45322</v>
      </c>
      <c r="E338" s="31">
        <v>45321</v>
      </c>
    </row>
    <row r="339" spans="1:5">
      <c r="A339" t="s">
        <v>94</v>
      </c>
      <c r="B339" s="10">
        <v>153.97800000000001</v>
      </c>
      <c r="C339">
        <v>1</v>
      </c>
      <c r="D339" s="31">
        <v>45314</v>
      </c>
      <c r="E339" s="31">
        <v>45309</v>
      </c>
    </row>
    <row r="340" spans="1:5">
      <c r="A340" t="s">
        <v>86</v>
      </c>
      <c r="B340" s="10">
        <v>131.96700000000001</v>
      </c>
      <c r="C340">
        <v>1</v>
      </c>
      <c r="D340" s="31">
        <v>45309</v>
      </c>
      <c r="E340" s="31">
        <v>45305</v>
      </c>
    </row>
    <row r="341" spans="1:5">
      <c r="A341" t="s">
        <v>105</v>
      </c>
      <c r="B341" s="10">
        <v>252.923</v>
      </c>
      <c r="C341">
        <v>2</v>
      </c>
      <c r="D341" s="31">
        <v>45328</v>
      </c>
      <c r="E341" s="31">
        <v>45325</v>
      </c>
    </row>
    <row r="342" spans="1:5">
      <c r="A342" t="s">
        <v>75</v>
      </c>
      <c r="B342" s="10">
        <v>87.956000000000003</v>
      </c>
      <c r="C342">
        <v>1</v>
      </c>
      <c r="D342" s="31">
        <v>45304</v>
      </c>
      <c r="E342" s="31">
        <v>45299</v>
      </c>
    </row>
    <row r="343" spans="1:5">
      <c r="A343" t="s">
        <v>72</v>
      </c>
      <c r="B343" s="10">
        <v>175.97800000000001</v>
      </c>
      <c r="C343">
        <v>1</v>
      </c>
      <c r="D343" s="31">
        <v>45299</v>
      </c>
      <c r="E343" s="31">
        <v>45297</v>
      </c>
    </row>
    <row r="344" spans="1:5">
      <c r="A344" t="s">
        <v>109</v>
      </c>
      <c r="B344" s="10">
        <v>219.989</v>
      </c>
      <c r="C344">
        <v>1</v>
      </c>
      <c r="D344" s="31">
        <v>45320</v>
      </c>
      <c r="E344" s="31">
        <v>45319</v>
      </c>
    </row>
    <row r="345" spans="1:5">
      <c r="A345" t="s">
        <v>81</v>
      </c>
      <c r="B345" s="10">
        <v>175.97800000000001</v>
      </c>
      <c r="C345">
        <v>1</v>
      </c>
      <c r="D345" s="31">
        <v>45305</v>
      </c>
      <c r="E345" s="31">
        <v>45302</v>
      </c>
    </row>
    <row r="346" spans="1:5">
      <c r="A346" t="s">
        <v>63</v>
      </c>
      <c r="B346" s="10">
        <v>505.94499999999999</v>
      </c>
      <c r="C346">
        <v>2</v>
      </c>
      <c r="D346" s="31">
        <v>45315</v>
      </c>
      <c r="E346" s="31">
        <v>45311</v>
      </c>
    </row>
    <row r="347" spans="1:5">
      <c r="A347" t="s">
        <v>101</v>
      </c>
      <c r="B347" s="10">
        <v>296.91200000000003</v>
      </c>
      <c r="C347">
        <v>2</v>
      </c>
      <c r="D347" s="31">
        <v>45324</v>
      </c>
      <c r="E347" s="31">
        <v>45323</v>
      </c>
    </row>
    <row r="348" spans="1:5">
      <c r="A348" t="s">
        <v>90</v>
      </c>
      <c r="B348" s="10">
        <v>164.96700000000001</v>
      </c>
      <c r="C348">
        <v>1</v>
      </c>
      <c r="D348" s="31">
        <v>45310</v>
      </c>
      <c r="E348" s="31">
        <v>45307</v>
      </c>
    </row>
    <row r="349" spans="1:5">
      <c r="A349" t="s">
        <v>73</v>
      </c>
      <c r="B349" s="10">
        <v>164.96700000000001</v>
      </c>
      <c r="C349">
        <v>1</v>
      </c>
      <c r="D349" s="31">
        <v>45300</v>
      </c>
      <c r="E349" s="31">
        <v>45298</v>
      </c>
    </row>
    <row r="350" spans="1:5">
      <c r="A350" t="s">
        <v>68</v>
      </c>
      <c r="B350" s="10">
        <v>153.97800000000001</v>
      </c>
      <c r="C350">
        <v>1</v>
      </c>
      <c r="D350" s="31">
        <v>45300</v>
      </c>
      <c r="E350" s="31">
        <v>45295</v>
      </c>
    </row>
    <row r="351" spans="1:5">
      <c r="A351" t="s">
        <v>93</v>
      </c>
      <c r="B351" s="10">
        <v>164.989</v>
      </c>
      <c r="C351">
        <v>1</v>
      </c>
      <c r="D351" s="31">
        <v>45310</v>
      </c>
      <c r="E351" s="31">
        <v>45308</v>
      </c>
    </row>
    <row r="352" spans="1:5">
      <c r="A352" t="s">
        <v>104</v>
      </c>
      <c r="B352" s="10">
        <v>318.96699999999998</v>
      </c>
      <c r="C352">
        <v>2</v>
      </c>
      <c r="D352" s="31">
        <v>45328</v>
      </c>
      <c r="E352" s="31">
        <v>45324</v>
      </c>
    </row>
    <row r="353" spans="1:5">
      <c r="A353" t="s">
        <v>98</v>
      </c>
      <c r="B353" s="10">
        <v>252.923</v>
      </c>
      <c r="C353">
        <v>2</v>
      </c>
      <c r="D353" s="31">
        <v>45322</v>
      </c>
      <c r="E353" s="31">
        <v>45320</v>
      </c>
    </row>
    <row r="354" spans="1:5">
      <c r="A354" t="s">
        <v>85</v>
      </c>
      <c r="B354" s="10">
        <v>153.97800000000001</v>
      </c>
      <c r="C354">
        <v>1</v>
      </c>
      <c r="D354" s="31">
        <v>45305</v>
      </c>
      <c r="E354" s="31">
        <v>45304</v>
      </c>
    </row>
    <row r="355" spans="1:5">
      <c r="A355" t="s">
        <v>71</v>
      </c>
      <c r="B355" s="10">
        <v>164.94499999999999</v>
      </c>
      <c r="C355">
        <v>1</v>
      </c>
      <c r="D355" s="31">
        <v>45298</v>
      </c>
      <c r="E355" s="31">
        <v>45297</v>
      </c>
    </row>
    <row r="356" spans="1:5">
      <c r="A356" t="s">
        <v>126</v>
      </c>
      <c r="B356" s="10">
        <v>10855.151999999993</v>
      </c>
      <c r="C356">
        <v>70</v>
      </c>
      <c r="D356" s="31">
        <v>45330</v>
      </c>
      <c r="E356" s="31">
        <v>45326</v>
      </c>
    </row>
    <row r="358" spans="1:5">
      <c r="A358" t="s">
        <v>113</v>
      </c>
      <c r="B358" t="s">
        <v>112</v>
      </c>
    </row>
    <row r="359" spans="1:5">
      <c r="A359">
        <v>70</v>
      </c>
      <c r="B359" s="10">
        <v>10855.151999999991</v>
      </c>
      <c r="C359">
        <f>GETPIVOTDATA("Sum of Total (USD)",$A$358)</f>
        <v>10855.151999999991</v>
      </c>
      <c r="D359">
        <f>GETPIVOTDATA("Count of Order No",$A$358)</f>
        <v>70</v>
      </c>
      <c r="E359" s="15">
        <f>C359/D359</f>
        <v>155.07359999999986</v>
      </c>
    </row>
    <row r="362" spans="1:5">
      <c r="A362" t="s">
        <v>143</v>
      </c>
    </row>
    <row r="363" spans="1:5">
      <c r="A363" s="10">
        <v>84.418571428571283</v>
      </c>
      <c r="B363" s="15">
        <f>GETPIVOTDATA("Retail Price (USD)",$A$362)</f>
        <v>84.418571428571283</v>
      </c>
    </row>
    <row r="365" spans="1:5">
      <c r="A365" t="s">
        <v>144</v>
      </c>
    </row>
    <row r="366" spans="1:5">
      <c r="A366" s="10">
        <v>57.043987966717616</v>
      </c>
      <c r="B366" s="15">
        <f>GETPIVOTDATA("Retail Price (USD)",$A$365)</f>
        <v>57.043987966717616</v>
      </c>
    </row>
  </sheetData>
  <conditionalFormatting sqref="J20">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53"/>
  <sheetViews>
    <sheetView workbookViewId="0">
      <selection activeCell="F6" sqref="F6"/>
    </sheetView>
  </sheetViews>
  <sheetFormatPr defaultRowHeight="15"/>
  <cols>
    <col min="1" max="1" width="20.7109375" bestFit="1" customWidth="1"/>
    <col min="2" max="2" width="9.42578125" bestFit="1" customWidth="1"/>
    <col min="3" max="3" width="10.42578125" bestFit="1" customWidth="1"/>
    <col min="4" max="4" width="18.85546875" bestFit="1" customWidth="1"/>
    <col min="5" max="5" width="15.140625" bestFit="1" customWidth="1"/>
    <col min="6" max="6" width="18.5703125" customWidth="1"/>
    <col min="7" max="7" width="19" bestFit="1" customWidth="1"/>
    <col min="8" max="8" width="21.5703125" style="32" bestFit="1" customWidth="1"/>
    <col min="9" max="9" width="20.85546875" style="33" customWidth="1"/>
    <col min="10" max="10" width="13.85546875" customWidth="1"/>
  </cols>
  <sheetData>
    <row r="1" spans="1:10">
      <c r="A1" s="14" t="s">
        <v>46</v>
      </c>
      <c r="B1" t="s">
        <v>139</v>
      </c>
      <c r="C1" t="s">
        <v>140</v>
      </c>
      <c r="D1" t="s">
        <v>141</v>
      </c>
      <c r="E1" t="s">
        <v>142</v>
      </c>
      <c r="F1" t="s">
        <v>145</v>
      </c>
      <c r="G1" t="s">
        <v>146</v>
      </c>
      <c r="H1" s="34" t="s">
        <v>147</v>
      </c>
      <c r="I1" s="35" t="s">
        <v>148</v>
      </c>
      <c r="J1" t="s">
        <v>149</v>
      </c>
    </row>
    <row r="2" spans="1:10">
      <c r="A2" t="s">
        <v>76</v>
      </c>
      <c r="B2" s="10">
        <v>164.989</v>
      </c>
      <c r="C2">
        <v>1</v>
      </c>
      <c r="D2" s="31">
        <v>45303</v>
      </c>
      <c r="E2" s="31">
        <v>45299</v>
      </c>
      <c r="F2">
        <f>$J$2 - E2</f>
        <v>27</v>
      </c>
      <c r="G2">
        <f>$J$2 - D2</f>
        <v>23</v>
      </c>
      <c r="H2" s="32">
        <f t="array" ref="H2">_xlfn.IFS(F2&lt;=6, 5,F2&lt;=13, 4,F2&lt;=20, 3,F2&lt;=27, 2,F2&lt;=34,1)</f>
        <v>2</v>
      </c>
      <c r="I2" s="33">
        <f t="array" ref="I2">_xlfn.IFS(G2&lt;=6, 5,G2&lt;=13, 4,G2&lt;=20, 3,G2&lt;=27, 2,G2&lt;=34,1)</f>
        <v>2</v>
      </c>
      <c r="J2" s="31">
        <f>MAX(E2:E52)</f>
        <v>45326</v>
      </c>
    </row>
    <row r="3" spans="1:10">
      <c r="A3" t="s">
        <v>82</v>
      </c>
      <c r="B3" s="10">
        <v>164.96700000000001</v>
      </c>
      <c r="C3">
        <v>1</v>
      </c>
      <c r="D3" s="31">
        <v>45306</v>
      </c>
      <c r="E3" s="31">
        <v>45302</v>
      </c>
      <c r="F3">
        <f t="shared" ref="F3:F52" si="0">$J$2 - E3</f>
        <v>24</v>
      </c>
      <c r="G3">
        <f t="shared" ref="G3:G52" si="1">$J$2 - D3</f>
        <v>20</v>
      </c>
      <c r="H3" s="32">
        <f t="array" ref="H3">_xlfn.IFS(F3&lt;=6, 5,F3&lt;=13, 4,F3&lt;=20, 3,F3&lt;=277, 2,F3&lt;=34,1)</f>
        <v>2</v>
      </c>
      <c r="I3" s="33">
        <f t="array" ref="I3">_xlfn.IFS(G3&lt;=6, 5,G3&lt;=13, 4,G3&lt;=20, 3,G3&lt;=27, 2,G3&lt;=34,1)</f>
        <v>3</v>
      </c>
    </row>
    <row r="4" spans="1:10">
      <c r="A4" t="s">
        <v>83</v>
      </c>
      <c r="B4" s="10">
        <v>142.989</v>
      </c>
      <c r="C4">
        <v>1</v>
      </c>
      <c r="D4" s="31">
        <v>45308</v>
      </c>
      <c r="E4" s="31">
        <v>45303</v>
      </c>
      <c r="F4">
        <f t="shared" si="0"/>
        <v>23</v>
      </c>
      <c r="G4">
        <f t="shared" si="1"/>
        <v>18</v>
      </c>
      <c r="H4" s="32">
        <f t="array" ref="H4">_xlfn.IFS(F4&lt;=6, 5,F4&lt;=13, 4,F4&lt;=20, 3,F4&lt;=277, 2,F4&lt;=34,1)</f>
        <v>2</v>
      </c>
      <c r="I4" s="33">
        <f t="array" ref="I4">_xlfn.IFS(G4&lt;=6, 5,G4&lt;=13, 4,G4&lt;=20, 3,G4&lt;=27, 2,G4&lt;=34,1)</f>
        <v>3</v>
      </c>
    </row>
    <row r="5" spans="1:10">
      <c r="A5" t="s">
        <v>69</v>
      </c>
      <c r="B5" s="10">
        <v>98.989000000000004</v>
      </c>
      <c r="C5">
        <v>1</v>
      </c>
      <c r="D5" s="31">
        <v>45297</v>
      </c>
      <c r="E5" s="31">
        <v>45296</v>
      </c>
      <c r="F5">
        <f t="shared" si="0"/>
        <v>30</v>
      </c>
      <c r="G5">
        <f t="shared" si="1"/>
        <v>29</v>
      </c>
      <c r="H5" s="32">
        <f t="array" ref="H5">_xlfn.IFS(F5&lt;=6, 5,F5&lt;=13, 4,F5&lt;=20, 3,F5&lt;=277, 2,F5&lt;=34,1)</f>
        <v>2</v>
      </c>
      <c r="I5" s="33">
        <f t="array" ref="I5">_xlfn.IFS(G5&lt;=6, 5,G5&lt;=13, 4,G5&lt;=20, 3,G5&lt;=27, 2,G5&lt;=34,1)</f>
        <v>1</v>
      </c>
    </row>
    <row r="6" spans="1:10">
      <c r="A6" t="s">
        <v>107</v>
      </c>
      <c r="B6" s="10">
        <v>241.93400000000003</v>
      </c>
      <c r="C6">
        <v>2</v>
      </c>
      <c r="D6" s="31">
        <v>45330</v>
      </c>
      <c r="E6" s="31">
        <v>45326</v>
      </c>
      <c r="F6">
        <f t="shared" si="0"/>
        <v>0</v>
      </c>
      <c r="G6">
        <f t="shared" si="1"/>
        <v>-4</v>
      </c>
      <c r="H6" s="32">
        <f t="array" ref="H6">_xlfn.IFS(F6&lt;=6, 5,F6&lt;=13, 4,F6&lt;=20, 3,F6&lt;=277, 2,F6&lt;=34,1)</f>
        <v>5</v>
      </c>
      <c r="I6" s="33">
        <f t="array" ref="I6">_xlfn.IFS(G6&lt;=6, 5,G6&lt;=13, 4,G6&lt;=20, 3,G6&lt;=27, 2,G6&lt;=34,1)</f>
        <v>5</v>
      </c>
    </row>
    <row r="7" spans="1:10">
      <c r="A7" t="s">
        <v>96</v>
      </c>
      <c r="B7" s="10">
        <v>219.989</v>
      </c>
      <c r="C7">
        <v>1</v>
      </c>
      <c r="D7" s="31">
        <v>45311</v>
      </c>
      <c r="E7" s="31">
        <v>45310</v>
      </c>
      <c r="F7">
        <f t="shared" si="0"/>
        <v>16</v>
      </c>
      <c r="G7">
        <f t="shared" si="1"/>
        <v>15</v>
      </c>
      <c r="H7" s="32">
        <f t="array" ref="H7">_xlfn.IFS(F7&lt;=6, 5,F7&lt;=13, 4,F7&lt;=20, 3,F7&lt;=277, 2,F7&lt;=34,1)</f>
        <v>3</v>
      </c>
      <c r="I7" s="33">
        <f t="array" ref="I7">_xlfn.IFS(G7&lt;=6, 5,G7&lt;=13, 4,G7&lt;=20, 3,G7&lt;=27, 2,G7&lt;=34,1)</f>
        <v>3</v>
      </c>
    </row>
    <row r="8" spans="1:10">
      <c r="A8" t="s">
        <v>100</v>
      </c>
      <c r="B8" s="10">
        <v>296.95600000000002</v>
      </c>
      <c r="C8">
        <v>2</v>
      </c>
      <c r="D8" s="31">
        <v>45324</v>
      </c>
      <c r="E8" s="31">
        <v>45322</v>
      </c>
      <c r="F8">
        <f t="shared" si="0"/>
        <v>4</v>
      </c>
      <c r="G8">
        <f t="shared" si="1"/>
        <v>2</v>
      </c>
      <c r="H8" s="32">
        <f t="array" ref="H8">_xlfn.IFS(F8&lt;=6, 5,F8&lt;=13, 4,F8&lt;=20, 3,F8&lt;=277, 2,F8&lt;=34,1)</f>
        <v>5</v>
      </c>
      <c r="I8" s="33">
        <f t="array" ref="I8">_xlfn.IFS(G8&lt;=6, 5,G8&lt;=13, 4,G8&lt;=20, 3,G8&lt;=27, 2,G8&lt;=34,1)</f>
        <v>5</v>
      </c>
    </row>
    <row r="9" spans="1:10">
      <c r="A9" t="s">
        <v>67</v>
      </c>
      <c r="B9" s="10">
        <v>131.96700000000001</v>
      </c>
      <c r="C9">
        <v>1</v>
      </c>
      <c r="D9" s="31">
        <v>45297</v>
      </c>
      <c r="E9" s="31">
        <v>45295</v>
      </c>
      <c r="F9">
        <f t="shared" si="0"/>
        <v>31</v>
      </c>
      <c r="G9">
        <f t="shared" si="1"/>
        <v>29</v>
      </c>
      <c r="H9" s="32">
        <f t="array" ref="H9">_xlfn.IFS(F9&lt;=6, 5,F9&lt;=13, 4,F9&lt;=20, 3,F9&lt;=277, 2,F9&lt;=34,1)</f>
        <v>2</v>
      </c>
      <c r="I9" s="33">
        <f t="array" ref="I9">_xlfn.IFS(G9&lt;=6, 5,G9&lt;=13, 4,G9&lt;=20, 3,G9&lt;=27, 2,G9&lt;=34,1)</f>
        <v>1</v>
      </c>
    </row>
    <row r="10" spans="1:10">
      <c r="A10" t="s">
        <v>79</v>
      </c>
      <c r="B10" s="10">
        <v>219.989</v>
      </c>
      <c r="C10">
        <v>1</v>
      </c>
      <c r="D10" s="31">
        <v>45302</v>
      </c>
      <c r="E10" s="31">
        <v>45301</v>
      </c>
      <c r="F10">
        <f t="shared" si="0"/>
        <v>25</v>
      </c>
      <c r="G10">
        <f t="shared" si="1"/>
        <v>24</v>
      </c>
      <c r="H10" s="32">
        <f t="array" ref="H10">_xlfn.IFS(F10&lt;=6, 5,F10&lt;=13, 4,F10&lt;=20, 3,F10&lt;=277, 2,F10&lt;=34,1)</f>
        <v>2</v>
      </c>
      <c r="I10" s="33">
        <f t="array" ref="I10">_xlfn.IFS(G10&lt;=6, 5,G10&lt;=13, 4,G10&lt;=20, 3,G10&lt;=27, 2,G10&lt;=34,1)</f>
        <v>2</v>
      </c>
    </row>
    <row r="11" spans="1:10">
      <c r="A11" t="s">
        <v>88</v>
      </c>
      <c r="B11" s="10">
        <v>164.94499999999999</v>
      </c>
      <c r="C11">
        <v>1</v>
      </c>
      <c r="D11" s="31">
        <v>45310</v>
      </c>
      <c r="E11" s="31">
        <v>45306</v>
      </c>
      <c r="F11">
        <f t="shared" si="0"/>
        <v>20</v>
      </c>
      <c r="G11">
        <f t="shared" si="1"/>
        <v>16</v>
      </c>
      <c r="H11" s="32">
        <f t="array" ref="H11">_xlfn.IFS(F11&lt;=6, 5,F11&lt;=13, 4,F11&lt;=20, 3,F11&lt;=277, 2,F11&lt;=34,1)</f>
        <v>3</v>
      </c>
      <c r="I11" s="33">
        <f t="array" ref="I11">_xlfn.IFS(G11&lt;=6, 5,G11&lt;=13, 4,G11&lt;=20, 3,G11&lt;=27, 2,G11&lt;=34,1)</f>
        <v>3</v>
      </c>
    </row>
    <row r="12" spans="1:10">
      <c r="A12" t="s">
        <v>92</v>
      </c>
      <c r="B12" s="10">
        <v>87.956000000000003</v>
      </c>
      <c r="C12">
        <v>1</v>
      </c>
      <c r="D12" s="31">
        <v>45310</v>
      </c>
      <c r="E12" s="31">
        <v>45308</v>
      </c>
      <c r="F12">
        <f t="shared" si="0"/>
        <v>18</v>
      </c>
      <c r="G12">
        <f t="shared" si="1"/>
        <v>16</v>
      </c>
      <c r="H12" s="32">
        <f t="array" ref="H12">_xlfn.IFS(F12&lt;=6, 5,F12&lt;=13, 4,F12&lt;=20, 3,F12&lt;=277, 2,F12&lt;=34,1)</f>
        <v>3</v>
      </c>
      <c r="I12" s="33">
        <f t="array" ref="I12">_xlfn.IFS(G12&lt;=6, 5,G12&lt;=13, 4,G12&lt;=20, 3,G12&lt;=27, 2,G12&lt;=34,1)</f>
        <v>3</v>
      </c>
    </row>
    <row r="13" spans="1:10">
      <c r="A13" t="s">
        <v>111</v>
      </c>
      <c r="B13" s="10">
        <v>175.97800000000001</v>
      </c>
      <c r="C13">
        <v>1</v>
      </c>
      <c r="D13" s="31">
        <v>45321</v>
      </c>
      <c r="E13" s="31">
        <v>45320</v>
      </c>
      <c r="F13">
        <f t="shared" si="0"/>
        <v>6</v>
      </c>
      <c r="G13">
        <f t="shared" si="1"/>
        <v>5</v>
      </c>
      <c r="H13" s="32">
        <f t="array" ref="H13">_xlfn.IFS(F13&lt;=6, 5,F13&lt;=13, 4,F13&lt;=20, 3,F13&lt;=277, 2,F13&lt;=34,1)</f>
        <v>5</v>
      </c>
      <c r="I13" s="33">
        <f t="array" ref="I13">_xlfn.IFS(G13&lt;=6, 5,G13&lt;=13, 4,G13&lt;=20, 3,G13&lt;=27, 2,G13&lt;=34,1)</f>
        <v>5</v>
      </c>
    </row>
    <row r="14" spans="1:10">
      <c r="A14" t="s">
        <v>103</v>
      </c>
      <c r="B14" s="10">
        <v>329.91200000000003</v>
      </c>
      <c r="C14">
        <v>2</v>
      </c>
      <c r="D14" s="31">
        <v>45325</v>
      </c>
      <c r="E14" s="31">
        <v>45323</v>
      </c>
      <c r="F14">
        <f t="shared" si="0"/>
        <v>3</v>
      </c>
      <c r="G14">
        <f t="shared" si="1"/>
        <v>1</v>
      </c>
      <c r="H14" s="32">
        <f t="array" ref="H14">_xlfn.IFS(F14&lt;=6, 5,F14&lt;=13, 4,F14&lt;=20, 3,F14&lt;=277, 2,F14&lt;=34,1)</f>
        <v>5</v>
      </c>
      <c r="I14" s="33">
        <f t="array" ref="I14">_xlfn.IFS(G14&lt;=6, 5,G14&lt;=13, 4,G14&lt;=20, 3,G14&lt;=27, 2,G14&lt;=34,1)</f>
        <v>5</v>
      </c>
    </row>
    <row r="15" spans="1:10">
      <c r="A15" t="s">
        <v>65</v>
      </c>
      <c r="B15" s="10">
        <v>472.96699999999998</v>
      </c>
      <c r="C15">
        <v>3</v>
      </c>
      <c r="D15" s="31">
        <v>45317</v>
      </c>
      <c r="E15" s="31">
        <v>45312</v>
      </c>
      <c r="F15">
        <f t="shared" si="0"/>
        <v>14</v>
      </c>
      <c r="G15">
        <f t="shared" si="1"/>
        <v>9</v>
      </c>
      <c r="H15" s="32">
        <f t="array" ref="H15">_xlfn.IFS(F15&lt;=6, 5,F15&lt;=13, 4,F15&lt;=20, 3,F15&lt;=277, 2,F15&lt;=34,1)</f>
        <v>3</v>
      </c>
      <c r="I15" s="33">
        <f t="array" ref="I15">_xlfn.IFS(G15&lt;=6, 5,G15&lt;=13, 4,G15&lt;=20, 3,G15&lt;=27, 2,G15&lt;=34,1)</f>
        <v>4</v>
      </c>
    </row>
    <row r="16" spans="1:10">
      <c r="A16" t="s">
        <v>64</v>
      </c>
      <c r="B16" s="10">
        <v>329.89000000000004</v>
      </c>
      <c r="C16">
        <v>3</v>
      </c>
      <c r="D16" s="31">
        <v>45323</v>
      </c>
      <c r="E16" s="31">
        <v>45321</v>
      </c>
      <c r="F16">
        <f t="shared" si="0"/>
        <v>5</v>
      </c>
      <c r="G16">
        <f t="shared" si="1"/>
        <v>3</v>
      </c>
      <c r="H16" s="32">
        <f t="array" ref="H16">_xlfn.IFS(F16&lt;=6, 5,F16&lt;=13, 4,F16&lt;=20, 3,F16&lt;=277, 2,F16&lt;=34,1)</f>
        <v>5</v>
      </c>
      <c r="I16" s="33">
        <f t="array" ref="I16">_xlfn.IFS(G16&lt;=6, 5,G16&lt;=13, 4,G16&lt;=20, 3,G16&lt;=27, 2,G16&lt;=34,1)</f>
        <v>5</v>
      </c>
    </row>
    <row r="17" spans="1:9">
      <c r="A17" t="s">
        <v>87</v>
      </c>
      <c r="B17" s="10">
        <v>219.989</v>
      </c>
      <c r="C17">
        <v>1</v>
      </c>
      <c r="D17" s="31">
        <v>45310</v>
      </c>
      <c r="E17" s="31">
        <v>45305</v>
      </c>
      <c r="F17">
        <f t="shared" si="0"/>
        <v>21</v>
      </c>
      <c r="G17">
        <f t="shared" si="1"/>
        <v>16</v>
      </c>
      <c r="H17" s="32">
        <f t="array" ref="H17">_xlfn.IFS(F17&lt;=6, 5,F17&lt;=13, 4,F17&lt;=20, 3,F17&lt;=277, 2,F17&lt;=34,1)</f>
        <v>2</v>
      </c>
      <c r="I17" s="33">
        <f t="array" ref="I17">_xlfn.IFS(G17&lt;=6, 5,G17&lt;=13, 4,G17&lt;=20, 3,G17&lt;=27, 2,G17&lt;=34,1)</f>
        <v>3</v>
      </c>
    </row>
    <row r="18" spans="1:9">
      <c r="A18" t="s">
        <v>106</v>
      </c>
      <c r="B18" s="10">
        <v>307.97800000000001</v>
      </c>
      <c r="C18">
        <v>2</v>
      </c>
      <c r="D18" s="31">
        <v>45327</v>
      </c>
      <c r="E18" s="31">
        <v>45326</v>
      </c>
      <c r="F18">
        <f t="shared" si="0"/>
        <v>0</v>
      </c>
      <c r="G18">
        <f t="shared" si="1"/>
        <v>-1</v>
      </c>
      <c r="H18" s="32">
        <f t="array" ref="H18">_xlfn.IFS(F18&lt;=6, 5,F18&lt;=13, 4,F18&lt;=20, 3,F18&lt;=277, 2,F18&lt;=34,1)</f>
        <v>5</v>
      </c>
      <c r="I18" s="33">
        <f t="array" ref="I18">_xlfn.IFS(G18&lt;=6, 5,G18&lt;=13, 4,G18&lt;=20, 3,G18&lt;=27, 2,G18&lt;=34,1)</f>
        <v>5</v>
      </c>
    </row>
    <row r="19" spans="1:9">
      <c r="A19" t="s">
        <v>95</v>
      </c>
      <c r="B19" s="10">
        <v>131.96700000000001</v>
      </c>
      <c r="C19">
        <v>1</v>
      </c>
      <c r="D19" s="31">
        <v>45310</v>
      </c>
      <c r="E19" s="31">
        <v>45309</v>
      </c>
      <c r="F19">
        <f t="shared" si="0"/>
        <v>17</v>
      </c>
      <c r="G19">
        <f t="shared" si="1"/>
        <v>16</v>
      </c>
      <c r="H19" s="32">
        <f t="array" ref="H19">_xlfn.IFS(F19&lt;=6, 5,F19&lt;=13, 4,F19&lt;=20, 3,F19&lt;=277, 2,F19&lt;=34,1)</f>
        <v>3</v>
      </c>
      <c r="I19" s="33">
        <f t="array" ref="I19">_xlfn.IFS(G19&lt;=6, 5,G19&lt;=13, 4,G19&lt;=20, 3,G19&lt;=27, 2,G19&lt;=34,1)</f>
        <v>3</v>
      </c>
    </row>
    <row r="20" spans="1:9">
      <c r="A20" t="s">
        <v>77</v>
      </c>
      <c r="B20" s="10">
        <v>153.97800000000001</v>
      </c>
      <c r="C20">
        <v>1</v>
      </c>
      <c r="D20" s="31">
        <v>45305</v>
      </c>
      <c r="E20" s="31">
        <v>45300</v>
      </c>
      <c r="F20">
        <f t="shared" si="0"/>
        <v>26</v>
      </c>
      <c r="G20">
        <f t="shared" si="1"/>
        <v>21</v>
      </c>
      <c r="H20" s="32">
        <f t="array" ref="H20">_xlfn.IFS(F20&lt;=6, 5,F20&lt;=13, 4,F20&lt;=20, 3,F20&lt;=277, 2,F20&lt;=34,1)</f>
        <v>2</v>
      </c>
      <c r="I20" s="33">
        <f t="array" ref="I20">_xlfn.IFS(G20&lt;=6, 5,G20&lt;=13, 4,G20&lt;=20, 3,G20&lt;=27, 2,G20&lt;=34,1)</f>
        <v>2</v>
      </c>
    </row>
    <row r="21" spans="1:9">
      <c r="A21" t="s">
        <v>62</v>
      </c>
      <c r="B21" s="10">
        <v>32.988999999999997</v>
      </c>
      <c r="C21">
        <v>1</v>
      </c>
      <c r="D21" s="31">
        <v>45295</v>
      </c>
      <c r="E21" s="31">
        <v>45292</v>
      </c>
      <c r="F21">
        <f t="shared" si="0"/>
        <v>34</v>
      </c>
      <c r="G21">
        <f t="shared" si="1"/>
        <v>31</v>
      </c>
      <c r="H21" s="32">
        <f t="array" ref="H21">_xlfn.IFS(F21&lt;=6, 5,F21&lt;=13, 4,F21&lt;=20, 3,F21&lt;=277, 2,F21&lt;=34,1)</f>
        <v>2</v>
      </c>
      <c r="I21" s="33">
        <f t="array" ref="I21">_xlfn.IFS(G21&lt;=6, 5,G21&lt;=13, 4,G21&lt;=20, 3,G21&lt;=27, 2,G21&lt;=34,1)</f>
        <v>1</v>
      </c>
    </row>
    <row r="22" spans="1:9">
      <c r="A22" t="s">
        <v>80</v>
      </c>
      <c r="B22" s="10">
        <v>538.91200000000003</v>
      </c>
      <c r="C22">
        <v>3</v>
      </c>
      <c r="D22" s="31">
        <v>45326</v>
      </c>
      <c r="E22" s="31">
        <v>45322</v>
      </c>
      <c r="F22">
        <f t="shared" si="0"/>
        <v>4</v>
      </c>
      <c r="G22">
        <f t="shared" si="1"/>
        <v>0</v>
      </c>
      <c r="H22" s="32">
        <f t="array" ref="H22">_xlfn.IFS(F22&lt;=6, 5,F22&lt;=13, 4,F22&lt;=20, 3,F22&lt;=277, 2,F22&lt;=34,1)</f>
        <v>5</v>
      </c>
      <c r="I22" s="33">
        <f t="array" ref="I22">_xlfn.IFS(G22&lt;=6, 5,G22&lt;=13, 4,G22&lt;=20, 3,G22&lt;=27, 2,G22&lt;=34,1)</f>
        <v>5</v>
      </c>
    </row>
    <row r="23" spans="1:9">
      <c r="A23" t="s">
        <v>108</v>
      </c>
      <c r="B23" s="10">
        <v>296.95600000000002</v>
      </c>
      <c r="C23">
        <v>2</v>
      </c>
      <c r="D23" s="31">
        <v>45329</v>
      </c>
      <c r="E23" s="31">
        <v>45326</v>
      </c>
      <c r="F23">
        <f t="shared" si="0"/>
        <v>0</v>
      </c>
      <c r="G23">
        <f t="shared" si="1"/>
        <v>-3</v>
      </c>
      <c r="H23" s="32">
        <f t="array" ref="H23">_xlfn.IFS(F23&lt;=6, 5,F23&lt;=13, 4,F23&lt;=20, 3,F23&lt;=277, 2,F23&lt;=34,1)</f>
        <v>5</v>
      </c>
      <c r="I23" s="33">
        <f t="array" ref="I23">_xlfn.IFS(G23&lt;=6, 5,G23&lt;=13, 4,G23&lt;=20, 3,G23&lt;=27, 2,G23&lt;=34,1)</f>
        <v>5</v>
      </c>
    </row>
    <row r="24" spans="1:9">
      <c r="A24" t="s">
        <v>89</v>
      </c>
      <c r="B24" s="10">
        <v>175.97800000000001</v>
      </c>
      <c r="C24">
        <v>1</v>
      </c>
      <c r="D24" s="31">
        <v>45310</v>
      </c>
      <c r="E24" s="31">
        <v>45306</v>
      </c>
      <c r="F24">
        <f t="shared" si="0"/>
        <v>20</v>
      </c>
      <c r="G24">
        <f t="shared" si="1"/>
        <v>16</v>
      </c>
      <c r="H24" s="32">
        <f t="array" ref="H24">_xlfn.IFS(F24&lt;=6, 5,F24&lt;=13, 4,F24&lt;=20, 3,F24&lt;=277, 2,F24&lt;=34,1)</f>
        <v>3</v>
      </c>
      <c r="I24" s="33">
        <f t="array" ref="I24">_xlfn.IFS(G24&lt;=6, 5,G24&lt;=13, 4,G24&lt;=20, 3,G24&lt;=27, 2,G24&lt;=34,1)</f>
        <v>3</v>
      </c>
    </row>
    <row r="25" spans="1:9">
      <c r="A25" t="s">
        <v>97</v>
      </c>
      <c r="B25" s="10">
        <v>164.94499999999999</v>
      </c>
      <c r="C25">
        <v>1</v>
      </c>
      <c r="D25" s="31">
        <v>45313</v>
      </c>
      <c r="E25" s="31">
        <v>45310</v>
      </c>
      <c r="F25">
        <f t="shared" si="0"/>
        <v>16</v>
      </c>
      <c r="G25">
        <f t="shared" si="1"/>
        <v>13</v>
      </c>
      <c r="H25" s="32">
        <f t="array" ref="H25">_xlfn.IFS(F25&lt;=6, 5,F25&lt;=13, 4,F25&lt;=20, 3,F25&lt;=277, 2,F25&lt;=34,1)</f>
        <v>3</v>
      </c>
      <c r="I25" s="33">
        <f t="array" ref="I25">_xlfn.IFS(G25&lt;=6, 5,G25&lt;=13, 4,G25&lt;=20, 3,G25&lt;=27, 2,G25&lt;=34,1)</f>
        <v>4</v>
      </c>
    </row>
    <row r="26" spans="1:9">
      <c r="A26" t="s">
        <v>74</v>
      </c>
      <c r="B26" s="10">
        <v>142.989</v>
      </c>
      <c r="C26">
        <v>1</v>
      </c>
      <c r="D26" s="31">
        <v>45303</v>
      </c>
      <c r="E26" s="31">
        <v>45298</v>
      </c>
      <c r="F26">
        <f t="shared" si="0"/>
        <v>28</v>
      </c>
      <c r="G26">
        <f t="shared" si="1"/>
        <v>23</v>
      </c>
      <c r="H26" s="32">
        <f t="array" ref="H26">_xlfn.IFS(F26&lt;=6, 5,F26&lt;=13, 4,F26&lt;=20, 3,F26&lt;=277, 2,F26&lt;=34,1)</f>
        <v>2</v>
      </c>
      <c r="I26" s="33">
        <f t="array" ref="I26">_xlfn.IFS(G26&lt;=6, 5,G26&lt;=13, 4,G26&lt;=20, 3,G26&lt;=27, 2,G26&lt;=34,1)</f>
        <v>2</v>
      </c>
    </row>
    <row r="27" spans="1:9">
      <c r="A27" t="s">
        <v>91</v>
      </c>
      <c r="B27" s="10">
        <v>142.989</v>
      </c>
      <c r="C27">
        <v>1</v>
      </c>
      <c r="D27" s="31">
        <v>45308</v>
      </c>
      <c r="E27" s="31">
        <v>45307</v>
      </c>
      <c r="F27">
        <f t="shared" si="0"/>
        <v>19</v>
      </c>
      <c r="G27">
        <f t="shared" si="1"/>
        <v>18</v>
      </c>
      <c r="H27" s="32">
        <f t="array" ref="H27">_xlfn.IFS(F27&lt;=6, 5,F27&lt;=13, 4,F27&lt;=20, 3,F27&lt;=277, 2,F27&lt;=34,1)</f>
        <v>3</v>
      </c>
      <c r="I27" s="33">
        <f t="array" ref="I27">_xlfn.IFS(G27&lt;=6, 5,G27&lt;=13, 4,G27&lt;=20, 3,G27&lt;=27, 2,G27&lt;=34,1)</f>
        <v>3</v>
      </c>
    </row>
    <row r="28" spans="1:9">
      <c r="A28" t="s">
        <v>84</v>
      </c>
      <c r="B28" s="10">
        <v>252.923</v>
      </c>
      <c r="C28">
        <v>2</v>
      </c>
      <c r="D28" s="31">
        <v>45312</v>
      </c>
      <c r="E28" s="31">
        <v>45311</v>
      </c>
      <c r="F28">
        <f t="shared" si="0"/>
        <v>15</v>
      </c>
      <c r="G28">
        <f t="shared" si="1"/>
        <v>14</v>
      </c>
      <c r="H28" s="32">
        <f t="array" ref="H28">_xlfn.IFS(F28&lt;=6, 5,F28&lt;=13, 4,F28&lt;=20, 3,F28&lt;=277, 2,F28&lt;=34,1)</f>
        <v>3</v>
      </c>
      <c r="I28" s="33">
        <f t="array" ref="I28">_xlfn.IFS(G28&lt;=6, 5,G28&lt;=13, 4,G28&lt;=20, 3,G28&lt;=27, 2,G28&lt;=34,1)</f>
        <v>3</v>
      </c>
    </row>
    <row r="29" spans="1:9">
      <c r="A29" t="s">
        <v>110</v>
      </c>
      <c r="B29" s="10">
        <v>164.94499999999999</v>
      </c>
      <c r="C29">
        <v>1</v>
      </c>
      <c r="D29" s="31">
        <v>45320</v>
      </c>
      <c r="E29" s="31">
        <v>45319</v>
      </c>
      <c r="F29">
        <f t="shared" si="0"/>
        <v>7</v>
      </c>
      <c r="G29">
        <f t="shared" si="1"/>
        <v>6</v>
      </c>
      <c r="H29" s="32">
        <f t="array" ref="H29">_xlfn.IFS(F29&lt;=6, 5,F29&lt;=13, 4,F29&lt;=20, 3,F29&lt;=277, 2,F29&lt;=34,1)</f>
        <v>4</v>
      </c>
      <c r="I29" s="33">
        <f t="array" ref="I29">_xlfn.IFS(G29&lt;=6, 5,G29&lt;=13, 4,G29&lt;=20, 3,G29&lt;=27, 2,G29&lt;=34,1)</f>
        <v>5</v>
      </c>
    </row>
    <row r="30" spans="1:9">
      <c r="A30" t="s">
        <v>102</v>
      </c>
      <c r="B30" s="10">
        <v>395.96699999999998</v>
      </c>
      <c r="C30">
        <v>2</v>
      </c>
      <c r="D30" s="31">
        <v>45327</v>
      </c>
      <c r="E30" s="31">
        <v>45323</v>
      </c>
      <c r="F30">
        <f t="shared" si="0"/>
        <v>3</v>
      </c>
      <c r="G30">
        <f t="shared" si="1"/>
        <v>-1</v>
      </c>
      <c r="H30" s="32">
        <f t="array" ref="H30">_xlfn.IFS(F30&lt;=6, 5,F30&lt;=13, 4,F30&lt;=20, 3,F30&lt;=277, 2,F30&lt;=34,1)</f>
        <v>5</v>
      </c>
      <c r="I30" s="33">
        <f t="array" ref="I30">_xlfn.IFS(G30&lt;=6, 5,G30&lt;=13, 4,G30&lt;=20, 3,G30&lt;=27, 2,G30&lt;=34,1)</f>
        <v>5</v>
      </c>
    </row>
    <row r="31" spans="1:9">
      <c r="A31" t="s">
        <v>61</v>
      </c>
      <c r="B31" s="10">
        <v>109.97799999999999</v>
      </c>
      <c r="C31">
        <v>1</v>
      </c>
      <c r="D31" s="31">
        <v>45294</v>
      </c>
      <c r="E31" s="31">
        <v>45292</v>
      </c>
      <c r="F31">
        <f t="shared" si="0"/>
        <v>34</v>
      </c>
      <c r="G31">
        <f t="shared" si="1"/>
        <v>32</v>
      </c>
      <c r="H31" s="32">
        <f t="array" ref="H31">_xlfn.IFS(F31&lt;=6, 5,F31&lt;=13, 4,F31&lt;=20, 3,F31&lt;=277, 2,F31&lt;=34,1)</f>
        <v>2</v>
      </c>
      <c r="I31" s="33">
        <f t="array" ref="I31">_xlfn.IFS(G31&lt;=6, 5,G31&lt;=13, 4,G31&lt;=20, 3,G31&lt;=27, 2,G31&lt;=34,1)</f>
        <v>1</v>
      </c>
    </row>
    <row r="32" spans="1:9">
      <c r="A32" t="s">
        <v>70</v>
      </c>
      <c r="B32" s="10">
        <v>219.989</v>
      </c>
      <c r="C32">
        <v>1</v>
      </c>
      <c r="D32" s="31">
        <v>45299</v>
      </c>
      <c r="E32" s="31">
        <v>45296</v>
      </c>
      <c r="F32">
        <f t="shared" si="0"/>
        <v>30</v>
      </c>
      <c r="G32">
        <f t="shared" si="1"/>
        <v>27</v>
      </c>
      <c r="H32" s="32">
        <f t="array" ref="H32">_xlfn.IFS(F32&lt;=6, 5,F32&lt;=13, 4,F32&lt;=20, 3,F32&lt;=277, 2,F32&lt;=34,1)</f>
        <v>2</v>
      </c>
      <c r="I32" s="33">
        <f t="array" ref="I32">_xlfn.IFS(G32&lt;=6, 5,G32&lt;=13, 4,G32&lt;=20, 3,G32&lt;=27, 2,G32&lt;=34,1)</f>
        <v>2</v>
      </c>
    </row>
    <row r="33" spans="1:9">
      <c r="A33" t="s">
        <v>78</v>
      </c>
      <c r="B33" s="10">
        <v>131.96700000000001</v>
      </c>
      <c r="C33">
        <v>1</v>
      </c>
      <c r="D33" s="31">
        <v>45303</v>
      </c>
      <c r="E33" s="31">
        <v>45300</v>
      </c>
      <c r="F33">
        <f t="shared" si="0"/>
        <v>26</v>
      </c>
      <c r="G33">
        <f t="shared" si="1"/>
        <v>23</v>
      </c>
      <c r="H33" s="32">
        <f t="array" ref="H33">_xlfn.IFS(F33&lt;=6, 5,F33&lt;=13, 4,F33&lt;=20, 3,F33&lt;=277, 2,F33&lt;=34,1)</f>
        <v>2</v>
      </c>
      <c r="I33" s="33">
        <f t="array" ref="I33">_xlfn.IFS(G33&lt;=6, 5,G33&lt;=13, 4,G33&lt;=20, 3,G33&lt;=27, 2,G33&lt;=34,1)</f>
        <v>2</v>
      </c>
    </row>
    <row r="34" spans="1:9">
      <c r="A34" t="s">
        <v>66</v>
      </c>
      <c r="B34" s="10">
        <v>175.97800000000001</v>
      </c>
      <c r="C34">
        <v>1</v>
      </c>
      <c r="D34" s="31">
        <v>45297</v>
      </c>
      <c r="E34" s="31">
        <v>45294</v>
      </c>
      <c r="F34">
        <f t="shared" si="0"/>
        <v>32</v>
      </c>
      <c r="G34">
        <f t="shared" si="1"/>
        <v>29</v>
      </c>
      <c r="H34" s="32">
        <f t="array" ref="H34">_xlfn.IFS(F34&lt;=6, 5,F34&lt;=13, 4,F34&lt;=20, 3,F34&lt;=277, 2,F34&lt;=34,1)</f>
        <v>2</v>
      </c>
      <c r="I34" s="33">
        <f t="array" ref="I34">_xlfn.IFS(G34&lt;=6, 5,G34&lt;=13, 4,G34&lt;=20, 3,G34&lt;=27, 2,G34&lt;=34,1)</f>
        <v>1</v>
      </c>
    </row>
    <row r="35" spans="1:9">
      <c r="A35" t="s">
        <v>99</v>
      </c>
      <c r="B35" s="10">
        <v>307.97800000000001</v>
      </c>
      <c r="C35">
        <v>2</v>
      </c>
      <c r="D35" s="31">
        <v>45322</v>
      </c>
      <c r="E35" s="31">
        <v>45321</v>
      </c>
      <c r="F35">
        <f t="shared" si="0"/>
        <v>5</v>
      </c>
      <c r="G35">
        <f t="shared" si="1"/>
        <v>4</v>
      </c>
      <c r="H35" s="32">
        <f t="array" ref="H35">_xlfn.IFS(F35&lt;=6, 5,F35&lt;=13, 4,F35&lt;=20, 3,F35&lt;=277, 2,F35&lt;=34,1)</f>
        <v>5</v>
      </c>
      <c r="I35" s="33">
        <f t="array" ref="I35">_xlfn.IFS(G35&lt;=6, 5,G35&lt;=13, 4,G35&lt;=20, 3,G35&lt;=27, 2,G35&lt;=34,1)</f>
        <v>5</v>
      </c>
    </row>
    <row r="36" spans="1:9">
      <c r="A36" t="s">
        <v>94</v>
      </c>
      <c r="B36" s="10">
        <v>153.97800000000001</v>
      </c>
      <c r="C36">
        <v>1</v>
      </c>
      <c r="D36" s="31">
        <v>45314</v>
      </c>
      <c r="E36" s="31">
        <v>45309</v>
      </c>
      <c r="F36">
        <f t="shared" si="0"/>
        <v>17</v>
      </c>
      <c r="G36">
        <f t="shared" si="1"/>
        <v>12</v>
      </c>
      <c r="H36" s="32">
        <f t="array" ref="H36">_xlfn.IFS(F36&lt;=6, 5,F36&lt;=13, 4,F36&lt;=20, 3,F36&lt;=277, 2,F36&lt;=34,1)</f>
        <v>3</v>
      </c>
      <c r="I36" s="33">
        <f t="array" ref="I36">_xlfn.IFS(G36&lt;=6, 5,G36&lt;=13, 4,G36&lt;=20, 3,G36&lt;=27, 2,G36&lt;=34,1)</f>
        <v>4</v>
      </c>
    </row>
    <row r="37" spans="1:9">
      <c r="A37" t="s">
        <v>86</v>
      </c>
      <c r="B37" s="10">
        <v>131.96700000000001</v>
      </c>
      <c r="C37">
        <v>1</v>
      </c>
      <c r="D37" s="31">
        <v>45309</v>
      </c>
      <c r="E37" s="31">
        <v>45305</v>
      </c>
      <c r="F37">
        <f t="shared" si="0"/>
        <v>21</v>
      </c>
      <c r="G37">
        <f t="shared" si="1"/>
        <v>17</v>
      </c>
      <c r="H37" s="32">
        <f t="array" ref="H37">_xlfn.IFS(F37&lt;=6, 5,F37&lt;=13, 4,F37&lt;=20, 3,F37&lt;=277, 2,F37&lt;=34,1)</f>
        <v>2</v>
      </c>
      <c r="I37" s="33">
        <f t="array" ref="I37">_xlfn.IFS(G37&lt;=6, 5,G37&lt;=13, 4,G37&lt;=20, 3,G37&lt;=27, 2,G37&lt;=34,1)</f>
        <v>3</v>
      </c>
    </row>
    <row r="38" spans="1:9">
      <c r="A38" t="s">
        <v>105</v>
      </c>
      <c r="B38" s="10">
        <v>252.923</v>
      </c>
      <c r="C38">
        <v>2</v>
      </c>
      <c r="D38" s="31">
        <v>45328</v>
      </c>
      <c r="E38" s="31">
        <v>45325</v>
      </c>
      <c r="F38">
        <f t="shared" si="0"/>
        <v>1</v>
      </c>
      <c r="G38">
        <f t="shared" si="1"/>
        <v>-2</v>
      </c>
      <c r="H38" s="32">
        <f t="array" ref="H38">_xlfn.IFS(F38&lt;=6, 5,F38&lt;=13, 4,F38&lt;=20, 3,F38&lt;=277, 2,F38&lt;=34,1)</f>
        <v>5</v>
      </c>
      <c r="I38" s="33">
        <f t="array" ref="I38">_xlfn.IFS(G38&lt;=6, 5,G38&lt;=13, 4,G38&lt;=20, 3,G38&lt;=27, 2,G38&lt;=34,1)</f>
        <v>5</v>
      </c>
    </row>
    <row r="39" spans="1:9">
      <c r="A39" t="s">
        <v>75</v>
      </c>
      <c r="B39" s="10">
        <v>87.956000000000003</v>
      </c>
      <c r="C39">
        <v>1</v>
      </c>
      <c r="D39" s="31">
        <v>45304</v>
      </c>
      <c r="E39" s="31">
        <v>45299</v>
      </c>
      <c r="F39">
        <f t="shared" si="0"/>
        <v>27</v>
      </c>
      <c r="G39">
        <f t="shared" si="1"/>
        <v>22</v>
      </c>
      <c r="H39" s="32">
        <f t="array" ref="H39">_xlfn.IFS(F39&lt;=6, 5,F39&lt;=13, 4,F39&lt;=20, 3,F39&lt;=277, 2,F39&lt;=34,1)</f>
        <v>2</v>
      </c>
      <c r="I39" s="33">
        <f t="array" ref="I39">_xlfn.IFS(G39&lt;=6, 5,G39&lt;=13, 4,G39&lt;=20, 3,G39&lt;=27, 2,G39&lt;=34,1)</f>
        <v>2</v>
      </c>
    </row>
    <row r="40" spans="1:9">
      <c r="A40" t="s">
        <v>72</v>
      </c>
      <c r="B40" s="10">
        <v>175.97800000000001</v>
      </c>
      <c r="C40">
        <v>1</v>
      </c>
      <c r="D40" s="31">
        <v>45299</v>
      </c>
      <c r="E40" s="31">
        <v>45297</v>
      </c>
      <c r="F40">
        <f t="shared" si="0"/>
        <v>29</v>
      </c>
      <c r="G40">
        <f t="shared" si="1"/>
        <v>27</v>
      </c>
      <c r="H40" s="32">
        <f t="array" ref="H40">_xlfn.IFS(F40&lt;=6, 5,F40&lt;=13, 4,F40&lt;=20, 3,F40&lt;=277, 2,F40&lt;=34,1)</f>
        <v>2</v>
      </c>
      <c r="I40" s="33">
        <f t="array" ref="I40">_xlfn.IFS(G40&lt;=6, 5,G40&lt;=13, 4,G40&lt;=20, 3,G40&lt;=27, 2,G40&lt;=34,1)</f>
        <v>2</v>
      </c>
    </row>
    <row r="41" spans="1:9">
      <c r="A41" t="s">
        <v>109</v>
      </c>
      <c r="B41" s="10">
        <v>219.989</v>
      </c>
      <c r="C41">
        <v>1</v>
      </c>
      <c r="D41" s="31">
        <v>45320</v>
      </c>
      <c r="E41" s="31">
        <v>45319</v>
      </c>
      <c r="F41">
        <f t="shared" si="0"/>
        <v>7</v>
      </c>
      <c r="G41">
        <f t="shared" si="1"/>
        <v>6</v>
      </c>
      <c r="H41" s="32">
        <f t="array" ref="H41">_xlfn.IFS(F41&lt;=6, 5,F41&lt;=13, 4,F41&lt;=20, 3,F41&lt;=277, 2,F41&lt;=34,1)</f>
        <v>4</v>
      </c>
      <c r="I41" s="33">
        <f t="array" ref="I41">_xlfn.IFS(G41&lt;=6, 5,G41&lt;=13, 4,G41&lt;=20, 3,G41&lt;=27, 2,G41&lt;=34,1)</f>
        <v>5</v>
      </c>
    </row>
    <row r="42" spans="1:9">
      <c r="A42" t="s">
        <v>81</v>
      </c>
      <c r="B42" s="10">
        <v>175.97800000000001</v>
      </c>
      <c r="C42">
        <v>1</v>
      </c>
      <c r="D42" s="31">
        <v>45305</v>
      </c>
      <c r="E42" s="31">
        <v>45302</v>
      </c>
      <c r="F42">
        <f t="shared" si="0"/>
        <v>24</v>
      </c>
      <c r="G42">
        <f t="shared" si="1"/>
        <v>21</v>
      </c>
      <c r="H42" s="32">
        <f t="array" ref="H42">_xlfn.IFS(F42&lt;=6, 5,F42&lt;=13, 4,F42&lt;=20, 3,F42&lt;=277, 2,F42&lt;=34,1)</f>
        <v>2</v>
      </c>
      <c r="I42" s="33">
        <f t="array" ref="I42">_xlfn.IFS(G42&lt;=6, 5,G42&lt;=13, 4,G42&lt;=20, 3,G42&lt;=27, 2,G42&lt;=34,1)</f>
        <v>2</v>
      </c>
    </row>
    <row r="43" spans="1:9">
      <c r="A43" t="s">
        <v>63</v>
      </c>
      <c r="B43" s="10">
        <v>505.94499999999999</v>
      </c>
      <c r="C43">
        <v>2</v>
      </c>
      <c r="D43" s="31">
        <v>45315</v>
      </c>
      <c r="E43" s="31">
        <v>45311</v>
      </c>
      <c r="F43">
        <f t="shared" si="0"/>
        <v>15</v>
      </c>
      <c r="G43">
        <f t="shared" si="1"/>
        <v>11</v>
      </c>
      <c r="H43" s="32">
        <f t="array" ref="H43">_xlfn.IFS(F43&lt;=6, 5,F43&lt;=13, 4,F43&lt;=20, 3,F43&lt;=277, 2,F43&lt;=34,1)</f>
        <v>3</v>
      </c>
      <c r="I43" s="33">
        <f t="array" ref="I43">_xlfn.IFS(G43&lt;=6, 5,G43&lt;=13, 4,G43&lt;=20, 3,G43&lt;=27, 2,G43&lt;=34,1)</f>
        <v>4</v>
      </c>
    </row>
    <row r="44" spans="1:9">
      <c r="A44" t="s">
        <v>101</v>
      </c>
      <c r="B44" s="10">
        <v>296.91200000000003</v>
      </c>
      <c r="C44">
        <v>2</v>
      </c>
      <c r="D44" s="31">
        <v>45324</v>
      </c>
      <c r="E44" s="31">
        <v>45323</v>
      </c>
      <c r="F44">
        <f t="shared" si="0"/>
        <v>3</v>
      </c>
      <c r="G44">
        <f t="shared" si="1"/>
        <v>2</v>
      </c>
      <c r="H44" s="32">
        <f t="array" ref="H44">_xlfn.IFS(F44&lt;=6, 5,F44&lt;=13, 4,F44&lt;=20, 3,F44&lt;=277, 2,F44&lt;=34,1)</f>
        <v>5</v>
      </c>
      <c r="I44" s="33">
        <f t="array" ref="I44">_xlfn.IFS(G44&lt;=6, 5,G44&lt;=13, 4,G44&lt;=20, 3,G44&lt;=27, 2,G44&lt;=34,1)</f>
        <v>5</v>
      </c>
    </row>
    <row r="45" spans="1:9">
      <c r="A45" t="s">
        <v>90</v>
      </c>
      <c r="B45" s="10">
        <v>164.96700000000001</v>
      </c>
      <c r="C45">
        <v>1</v>
      </c>
      <c r="D45" s="31">
        <v>45310</v>
      </c>
      <c r="E45" s="31">
        <v>45307</v>
      </c>
      <c r="F45">
        <f t="shared" si="0"/>
        <v>19</v>
      </c>
      <c r="G45">
        <f t="shared" si="1"/>
        <v>16</v>
      </c>
      <c r="H45" s="32">
        <f t="array" ref="H45">_xlfn.IFS(F45&lt;=6, 5,F45&lt;=13, 4,F45&lt;=20, 3,F45&lt;=277, 2,F45&lt;=34,1)</f>
        <v>3</v>
      </c>
      <c r="I45" s="33">
        <f t="array" ref="I45">_xlfn.IFS(G45&lt;=6, 5,G45&lt;=13, 4,G45&lt;=20, 3,G45&lt;=27, 2,G45&lt;=34,1)</f>
        <v>3</v>
      </c>
    </row>
    <row r="46" spans="1:9">
      <c r="A46" t="s">
        <v>73</v>
      </c>
      <c r="B46" s="10">
        <v>164.96700000000001</v>
      </c>
      <c r="C46">
        <v>1</v>
      </c>
      <c r="D46" s="31">
        <v>45300</v>
      </c>
      <c r="E46" s="31">
        <v>45298</v>
      </c>
      <c r="F46">
        <f t="shared" si="0"/>
        <v>28</v>
      </c>
      <c r="G46">
        <f t="shared" si="1"/>
        <v>26</v>
      </c>
      <c r="H46" s="32">
        <f t="array" ref="H46">_xlfn.IFS(F46&lt;=6, 5,F46&lt;=13, 4,F46&lt;=20, 3,F46&lt;=277, 2,F46&lt;=34,1)</f>
        <v>2</v>
      </c>
      <c r="I46" s="33">
        <f t="array" ref="I46">_xlfn.IFS(G46&lt;=6, 5,G46&lt;=13, 4,G46&lt;=20, 3,G46&lt;=27, 2,G46&lt;=34,1)</f>
        <v>2</v>
      </c>
    </row>
    <row r="47" spans="1:9">
      <c r="A47" t="s">
        <v>68</v>
      </c>
      <c r="B47" s="10">
        <v>153.97800000000001</v>
      </c>
      <c r="C47">
        <v>1</v>
      </c>
      <c r="D47" s="31">
        <v>45300</v>
      </c>
      <c r="E47" s="31">
        <v>45295</v>
      </c>
      <c r="F47">
        <f t="shared" si="0"/>
        <v>31</v>
      </c>
      <c r="G47">
        <f t="shared" si="1"/>
        <v>26</v>
      </c>
      <c r="H47" s="32">
        <f t="array" ref="H47">_xlfn.IFS(F47&lt;=6, 5,F47&lt;=13, 4,F47&lt;=20, 3,F47&lt;=277, 2,F47&lt;=34,1)</f>
        <v>2</v>
      </c>
      <c r="I47" s="33">
        <f t="array" ref="I47">_xlfn.IFS(G47&lt;=6, 5,G47&lt;=13, 4,G47&lt;=20, 3,G47&lt;=27, 2,G47&lt;=34,1)</f>
        <v>2</v>
      </c>
    </row>
    <row r="48" spans="1:9">
      <c r="A48" t="s">
        <v>93</v>
      </c>
      <c r="B48" s="10">
        <v>164.989</v>
      </c>
      <c r="C48">
        <v>1</v>
      </c>
      <c r="D48" s="31">
        <v>45310</v>
      </c>
      <c r="E48" s="31">
        <v>45308</v>
      </c>
      <c r="F48">
        <f t="shared" si="0"/>
        <v>18</v>
      </c>
      <c r="G48">
        <f t="shared" si="1"/>
        <v>16</v>
      </c>
      <c r="H48" s="32">
        <f t="array" ref="H48">_xlfn.IFS(F48&lt;=6, 5,F48&lt;=13, 4,F48&lt;=20, 3,F48&lt;=277, 2,F48&lt;=34,1)</f>
        <v>3</v>
      </c>
      <c r="I48" s="33">
        <f t="array" ref="I48">_xlfn.IFS(G48&lt;=6, 5,G48&lt;=13, 4,G48&lt;=20, 3,G48&lt;=27, 2,G48&lt;=34,1)</f>
        <v>3</v>
      </c>
    </row>
    <row r="49" spans="1:9">
      <c r="A49" t="s">
        <v>104</v>
      </c>
      <c r="B49" s="10">
        <v>318.96699999999998</v>
      </c>
      <c r="C49">
        <v>2</v>
      </c>
      <c r="D49" s="31">
        <v>45328</v>
      </c>
      <c r="E49" s="31">
        <v>45324</v>
      </c>
      <c r="F49">
        <f t="shared" si="0"/>
        <v>2</v>
      </c>
      <c r="G49">
        <f t="shared" si="1"/>
        <v>-2</v>
      </c>
      <c r="H49" s="32">
        <f t="array" ref="H49">_xlfn.IFS(F49&lt;=6, 5,F49&lt;=13, 4,F49&lt;=20, 3,F49&lt;=277, 2,F49&lt;=34,1)</f>
        <v>5</v>
      </c>
      <c r="I49" s="33">
        <f t="array" ref="I49">_xlfn.IFS(G49&lt;=6, 5,G49&lt;=13, 4,G49&lt;=20, 3,G49&lt;=27, 2,G49&lt;=34,1)</f>
        <v>5</v>
      </c>
    </row>
    <row r="50" spans="1:9">
      <c r="A50" t="s">
        <v>98</v>
      </c>
      <c r="B50" s="10">
        <v>252.923</v>
      </c>
      <c r="C50">
        <v>2</v>
      </c>
      <c r="D50" s="31">
        <v>45322</v>
      </c>
      <c r="E50" s="31">
        <v>45320</v>
      </c>
      <c r="F50">
        <f t="shared" si="0"/>
        <v>6</v>
      </c>
      <c r="G50">
        <f t="shared" si="1"/>
        <v>4</v>
      </c>
      <c r="H50" s="32">
        <f t="array" ref="H50">_xlfn.IFS(F50&lt;=6, 5,F50&lt;=13, 4,F50&lt;=20, 3,F50&lt;=277, 2,F50&lt;=34,1)</f>
        <v>5</v>
      </c>
      <c r="I50" s="33">
        <f t="array" ref="I50">_xlfn.IFS(G50&lt;=6, 5,G50&lt;=13, 4,G50&lt;=20, 3,G50&lt;=27, 2,G50&lt;=34,1)</f>
        <v>5</v>
      </c>
    </row>
    <row r="51" spans="1:9">
      <c r="A51" t="s">
        <v>85</v>
      </c>
      <c r="B51" s="10">
        <v>153.97800000000001</v>
      </c>
      <c r="C51">
        <v>1</v>
      </c>
      <c r="D51" s="31">
        <v>45305</v>
      </c>
      <c r="E51" s="31">
        <v>45304</v>
      </c>
      <c r="F51">
        <f t="shared" si="0"/>
        <v>22</v>
      </c>
      <c r="G51">
        <f t="shared" si="1"/>
        <v>21</v>
      </c>
      <c r="H51" s="32">
        <f t="array" ref="H51">_xlfn.IFS(F51&lt;=6, 5,F51&lt;=13, 4,F51&lt;=20, 3,F51&lt;=277, 2,F51&lt;=34,1)</f>
        <v>2</v>
      </c>
      <c r="I51" s="33">
        <f t="array" ref="I51">_xlfn.IFS(G51&lt;=6, 5,G51&lt;=13, 4,G51&lt;=20, 3,G51&lt;=27, 2,G51&lt;=34,1)</f>
        <v>2</v>
      </c>
    </row>
    <row r="52" spans="1:9">
      <c r="A52" t="s">
        <v>71</v>
      </c>
      <c r="B52" s="10">
        <v>164.94499999999999</v>
      </c>
      <c r="C52">
        <v>1</v>
      </c>
      <c r="D52" s="31">
        <v>45298</v>
      </c>
      <c r="E52" s="31">
        <v>45297</v>
      </c>
      <c r="F52">
        <f t="shared" si="0"/>
        <v>29</v>
      </c>
      <c r="G52">
        <f t="shared" si="1"/>
        <v>28</v>
      </c>
      <c r="H52" s="32">
        <f t="array" ref="H52">_xlfn.IFS(F52&lt;=6, 5,F52&lt;=13, 4,F52&lt;=20, 3,F52&lt;=277, 2,F52&lt;=34,1)</f>
        <v>2</v>
      </c>
      <c r="I52" s="33">
        <f t="array" ref="I52">_xlfn.IFS(G52&lt;=6, 5,G52&lt;=13, 4,G52&lt;=20, 3,G52&lt;=27, 2,G52&lt;=34,1)</f>
        <v>1</v>
      </c>
    </row>
    <row r="53" spans="1:9">
      <c r="A53" t="s">
        <v>126</v>
      </c>
      <c r="B53" s="10">
        <v>10855.151999999993</v>
      </c>
      <c r="C53">
        <v>70</v>
      </c>
      <c r="D53" s="31">
        <v>45330</v>
      </c>
      <c r="E53" s="31">
        <v>45326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2"/>
  <sheetViews>
    <sheetView workbookViewId="0"/>
  </sheetViews>
  <sheetFormatPr defaultRowHeight="15"/>
  <cols>
    <col min="1" max="1" width="11.85546875" customWidth="1"/>
    <col min="2" max="2" width="13" customWidth="1"/>
    <col min="3" max="3" width="21.5703125" customWidth="1"/>
    <col min="4" max="4" width="35.85546875" customWidth="1"/>
    <col min="5" max="5" width="35.7109375" customWidth="1"/>
    <col min="7" max="7" width="9.42578125" customWidth="1"/>
    <col min="8" max="8" width="7.28515625" customWidth="1"/>
  </cols>
  <sheetData>
    <row r="1" spans="1:8">
      <c r="A1" t="s">
        <v>45</v>
      </c>
      <c r="B1" t="s">
        <v>20</v>
      </c>
      <c r="C1" t="s">
        <v>150</v>
      </c>
      <c r="D1" t="s">
        <v>151</v>
      </c>
      <c r="E1" t="s">
        <v>152</v>
      </c>
      <c r="G1" t="s">
        <v>153</v>
      </c>
      <c r="H1" t="s">
        <v>154</v>
      </c>
    </row>
    <row r="2" spans="1:8">
      <c r="A2" s="31">
        <v>45292</v>
      </c>
      <c r="B2">
        <v>71.483499999999992</v>
      </c>
      <c r="G2" t="s">
        <v>155</v>
      </c>
      <c r="H2" s="75">
        <f>_xlfn.FORECAST.ETS.STAT($B$2:$B$36,$A$2:$A$36,1,1,1)</f>
        <v>0.25</v>
      </c>
    </row>
    <row r="3" spans="1:8">
      <c r="A3" s="31">
        <v>45293</v>
      </c>
      <c r="B3">
        <v>208.9615</v>
      </c>
      <c r="G3" t="s">
        <v>156</v>
      </c>
      <c r="H3" s="75">
        <f>_xlfn.FORECAST.ETS.STAT($B$2:$B$36,$A$2:$A$36,2,1,1)</f>
        <v>1E-3</v>
      </c>
    </row>
    <row r="4" spans="1:8">
      <c r="A4" s="31">
        <v>45294</v>
      </c>
      <c r="B4">
        <v>170.48349999999999</v>
      </c>
      <c r="G4" t="s">
        <v>157</v>
      </c>
      <c r="H4" s="75">
        <f>_xlfn.FORECAST.ETS.STAT($B$2:$B$36,$A$2:$A$36,3,1,1)</f>
        <v>0.749</v>
      </c>
    </row>
    <row r="5" spans="1:8">
      <c r="A5" s="31">
        <v>45295</v>
      </c>
      <c r="B5">
        <v>142.97250000000003</v>
      </c>
      <c r="G5" t="s">
        <v>158</v>
      </c>
      <c r="H5" s="75">
        <f>_xlfn.FORECAST.ETS.STAT($B$2:$B$36,$A$2:$A$36,4,1,1)</f>
        <v>0.90156941073185137</v>
      </c>
    </row>
    <row r="6" spans="1:8">
      <c r="A6" s="31">
        <v>45296</v>
      </c>
      <c r="B6">
        <v>159.489</v>
      </c>
      <c r="G6" t="s">
        <v>159</v>
      </c>
      <c r="H6" s="75">
        <f>_xlfn.FORECAST.ETS.STAT($B$2:$B$36,$A$2:$A$36,5,1,1)</f>
        <v>0.18401349607438472</v>
      </c>
    </row>
    <row r="7" spans="1:8">
      <c r="A7" s="31">
        <v>45297</v>
      </c>
      <c r="B7">
        <v>170.4615</v>
      </c>
      <c r="G7" t="s">
        <v>160</v>
      </c>
      <c r="H7" s="75">
        <f>_xlfn.FORECAST.ETS.STAT($B$2:$B$36,$A$2:$A$36,6,1,1)</f>
        <v>28.303250251545855</v>
      </c>
    </row>
    <row r="8" spans="1:8">
      <c r="A8" s="31">
        <v>45298</v>
      </c>
      <c r="B8">
        <v>153.97800000000001</v>
      </c>
      <c r="G8" t="s">
        <v>161</v>
      </c>
      <c r="H8" s="75">
        <f>_xlfn.FORECAST.ETS.STAT($B$2:$B$36,$A$2:$A$36,7,1,1)</f>
        <v>31.067316631382916</v>
      </c>
    </row>
    <row r="9" spans="1:8">
      <c r="A9" s="31">
        <v>45299</v>
      </c>
      <c r="B9">
        <v>126.4725</v>
      </c>
    </row>
    <row r="10" spans="1:8">
      <c r="A10" s="31">
        <v>45300</v>
      </c>
      <c r="B10">
        <v>142.97250000000003</v>
      </c>
    </row>
    <row r="11" spans="1:8">
      <c r="A11" s="31">
        <v>45301</v>
      </c>
      <c r="B11">
        <v>192.46699999999998</v>
      </c>
    </row>
    <row r="12" spans="1:8">
      <c r="A12" s="31">
        <v>45302</v>
      </c>
      <c r="B12">
        <v>170.47250000000003</v>
      </c>
    </row>
    <row r="13" spans="1:8">
      <c r="A13" s="31">
        <v>45303</v>
      </c>
      <c r="B13">
        <v>115.4725</v>
      </c>
    </row>
    <row r="14" spans="1:8">
      <c r="A14" s="31">
        <v>45304</v>
      </c>
      <c r="B14">
        <v>159.48349999999999</v>
      </c>
    </row>
    <row r="15" spans="1:8">
      <c r="A15" s="31">
        <v>45305</v>
      </c>
      <c r="B15">
        <v>175.97800000000001</v>
      </c>
    </row>
    <row r="16" spans="1:8">
      <c r="A16" s="31">
        <v>45306</v>
      </c>
      <c r="B16">
        <v>170.4615</v>
      </c>
    </row>
    <row r="17" spans="1:2">
      <c r="A17" s="31">
        <v>45307</v>
      </c>
      <c r="B17">
        <v>153.97800000000001</v>
      </c>
    </row>
    <row r="18" spans="1:2">
      <c r="A18" s="31">
        <v>45308</v>
      </c>
      <c r="B18">
        <v>126.4725</v>
      </c>
    </row>
    <row r="19" spans="1:2">
      <c r="A19" s="31">
        <v>45309</v>
      </c>
      <c r="B19">
        <v>142.97250000000003</v>
      </c>
    </row>
    <row r="20" spans="1:2">
      <c r="A20" s="31">
        <v>45310</v>
      </c>
      <c r="B20">
        <v>192.46699999999998</v>
      </c>
    </row>
    <row r="21" spans="1:2">
      <c r="A21" s="31">
        <v>45311</v>
      </c>
      <c r="B21">
        <v>170.47250000000003</v>
      </c>
    </row>
    <row r="22" spans="1:2">
      <c r="A22" s="31">
        <v>45312</v>
      </c>
      <c r="B22">
        <v>115.4725</v>
      </c>
    </row>
    <row r="23" spans="1:2">
      <c r="A23" s="31">
        <v>45313</v>
      </c>
      <c r="B23">
        <v>159.48349999999999</v>
      </c>
    </row>
    <row r="24" spans="1:2">
      <c r="A24" s="31">
        <v>45314</v>
      </c>
      <c r="B24">
        <v>175.97800000000001</v>
      </c>
    </row>
    <row r="25" spans="1:2">
      <c r="A25" s="31">
        <v>45315</v>
      </c>
      <c r="B25">
        <v>170.4615</v>
      </c>
    </row>
    <row r="26" spans="1:2">
      <c r="A26" s="31">
        <v>45316</v>
      </c>
      <c r="B26">
        <v>153.97800000000001</v>
      </c>
    </row>
    <row r="27" spans="1:2">
      <c r="A27" s="31">
        <v>45317</v>
      </c>
      <c r="B27">
        <v>126.4725</v>
      </c>
    </row>
    <row r="28" spans="1:2">
      <c r="A28" s="31">
        <v>45318</v>
      </c>
      <c r="B28">
        <v>142.97250000000003</v>
      </c>
    </row>
    <row r="29" spans="1:2">
      <c r="A29" s="31">
        <v>45319</v>
      </c>
      <c r="B29">
        <v>192.46699999999998</v>
      </c>
    </row>
    <row r="30" spans="1:2">
      <c r="A30" s="31">
        <v>45320</v>
      </c>
      <c r="B30">
        <v>170.47250000000003</v>
      </c>
    </row>
    <row r="31" spans="1:2">
      <c r="A31" s="31">
        <v>45321</v>
      </c>
      <c r="B31">
        <v>115.4725</v>
      </c>
    </row>
    <row r="32" spans="1:2">
      <c r="A32" s="31">
        <v>45322</v>
      </c>
      <c r="B32">
        <v>159.48349999999999</v>
      </c>
    </row>
    <row r="33" spans="1:5">
      <c r="A33" s="31">
        <v>45323</v>
      </c>
      <c r="B33">
        <v>172.30033333333333</v>
      </c>
    </row>
    <row r="34" spans="1:5">
      <c r="A34" s="31">
        <v>45324</v>
      </c>
      <c r="B34">
        <v>175.97800000000001</v>
      </c>
    </row>
    <row r="35" spans="1:5">
      <c r="A35" s="31">
        <v>45325</v>
      </c>
      <c r="B35">
        <v>164.96700000000001</v>
      </c>
    </row>
    <row r="36" spans="1:5">
      <c r="A36" s="31">
        <v>45326</v>
      </c>
      <c r="B36">
        <v>131.97799999999998</v>
      </c>
      <c r="C36">
        <v>131.97799999999998</v>
      </c>
      <c r="D36" s="10">
        <v>131.97799999999998</v>
      </c>
      <c r="E36" s="10">
        <v>131.97799999999998</v>
      </c>
    </row>
    <row r="37" spans="1:5">
      <c r="A37" s="31">
        <v>45327</v>
      </c>
      <c r="C37">
        <f t="shared" ref="C37:C62" si="0">_xlfn.FORECAST.ETS(A37,$B$2:$B$36,$A$2:$A$36,1,1)</f>
        <v>179.85901615638565</v>
      </c>
      <c r="D37" s="10">
        <f t="shared" ref="D37:D62" si="1">C37-_xlfn.FORECAST.ETS.CONFINT(A37,$B$2:$B$36,$A$2:$A$36,0.95,1,1)</f>
        <v>110.45047195301582</v>
      </c>
      <c r="E37" s="10">
        <f t="shared" ref="E37:E62" si="2">C37+_xlfn.FORECAST.ETS.CONFINT(A37,$B$2:$B$36,$A$2:$A$36,0.95,1,1)</f>
        <v>249.26756035975546</v>
      </c>
    </row>
    <row r="38" spans="1:5">
      <c r="A38" s="31">
        <v>45328</v>
      </c>
      <c r="C38">
        <f t="shared" si="0"/>
        <v>180.12886220013593</v>
      </c>
      <c r="D38" s="10">
        <f t="shared" si="1"/>
        <v>108.56730670762086</v>
      </c>
      <c r="E38" s="10">
        <f t="shared" si="2"/>
        <v>251.69041769265101</v>
      </c>
    </row>
    <row r="39" spans="1:5">
      <c r="A39" s="31">
        <v>45329</v>
      </c>
      <c r="C39">
        <f t="shared" si="0"/>
        <v>156.65191246122828</v>
      </c>
      <c r="D39" s="10">
        <f t="shared" si="1"/>
        <v>82.983807651699451</v>
      </c>
      <c r="E39" s="10">
        <f t="shared" si="2"/>
        <v>230.32001727075709</v>
      </c>
    </row>
    <row r="40" spans="1:5">
      <c r="A40" s="31">
        <v>45330</v>
      </c>
      <c r="C40">
        <f t="shared" si="0"/>
        <v>133.29903177197008</v>
      </c>
      <c r="D40" s="10">
        <f t="shared" si="1"/>
        <v>57.566898772288937</v>
      </c>
      <c r="E40" s="10">
        <f t="shared" si="2"/>
        <v>209.03116477165122</v>
      </c>
    </row>
    <row r="41" spans="1:5">
      <c r="A41" s="31">
        <v>45331</v>
      </c>
      <c r="C41">
        <f t="shared" si="0"/>
        <v>181.14170251000692</v>
      </c>
      <c r="D41" s="10">
        <f t="shared" si="1"/>
        <v>78.273580085821507</v>
      </c>
      <c r="E41" s="10">
        <f t="shared" si="2"/>
        <v>284.00982493419235</v>
      </c>
    </row>
    <row r="42" spans="1:5">
      <c r="A42" s="31">
        <v>45332</v>
      </c>
      <c r="C42">
        <f t="shared" si="0"/>
        <v>181.4115485537572</v>
      </c>
      <c r="D42" s="10">
        <f t="shared" si="1"/>
        <v>77.031897566242236</v>
      </c>
      <c r="E42" s="10">
        <f t="shared" si="2"/>
        <v>285.79119954127214</v>
      </c>
    </row>
    <row r="43" spans="1:5">
      <c r="A43" s="31">
        <v>45333</v>
      </c>
      <c r="C43">
        <f t="shared" si="0"/>
        <v>157.93459881484955</v>
      </c>
      <c r="D43" s="10">
        <f t="shared" si="1"/>
        <v>52.053371793795549</v>
      </c>
      <c r="E43" s="10">
        <f t="shared" si="2"/>
        <v>263.81582583590352</v>
      </c>
    </row>
    <row r="44" spans="1:5">
      <c r="A44" s="31">
        <v>45334</v>
      </c>
      <c r="C44">
        <f t="shared" si="0"/>
        <v>134.58171812559135</v>
      </c>
      <c r="D44" s="10">
        <f t="shared" si="1"/>
        <v>27.208405185201713</v>
      </c>
      <c r="E44" s="10">
        <f t="shared" si="2"/>
        <v>241.95503106598099</v>
      </c>
    </row>
    <row r="45" spans="1:5">
      <c r="A45" s="31">
        <v>45335</v>
      </c>
      <c r="C45">
        <f t="shared" si="0"/>
        <v>182.4243888636282</v>
      </c>
      <c r="D45" s="10">
        <f t="shared" si="1"/>
        <v>54.30625570481871</v>
      </c>
      <c r="E45" s="10">
        <f t="shared" si="2"/>
        <v>310.54252202243765</v>
      </c>
    </row>
    <row r="46" spans="1:5">
      <c r="A46" s="31">
        <v>45336</v>
      </c>
      <c r="C46">
        <f t="shared" si="0"/>
        <v>182.69423490737847</v>
      </c>
      <c r="D46" s="10">
        <f t="shared" si="1"/>
        <v>53.321046619039492</v>
      </c>
      <c r="E46" s="10">
        <f t="shared" si="2"/>
        <v>312.06742319571742</v>
      </c>
    </row>
    <row r="47" spans="1:5">
      <c r="A47" s="31">
        <v>45337</v>
      </c>
      <c r="C47">
        <f t="shared" si="0"/>
        <v>159.21728516847082</v>
      </c>
      <c r="D47" s="10">
        <f t="shared" si="1"/>
        <v>28.591529828798429</v>
      </c>
      <c r="E47" s="10">
        <f t="shared" si="2"/>
        <v>289.84304050814319</v>
      </c>
    </row>
    <row r="48" spans="1:5">
      <c r="A48" s="31">
        <v>45338</v>
      </c>
      <c r="C48">
        <f t="shared" si="0"/>
        <v>135.86440447921262</v>
      </c>
      <c r="D48" s="10">
        <f t="shared" si="1"/>
        <v>3.9884627396356791</v>
      </c>
      <c r="E48" s="10">
        <f t="shared" si="2"/>
        <v>267.74034621878957</v>
      </c>
    </row>
    <row r="49" spans="1:5">
      <c r="A49" s="31">
        <v>45339</v>
      </c>
      <c r="C49">
        <f t="shared" si="0"/>
        <v>183.70707521724947</v>
      </c>
      <c r="D49" s="10">
        <f t="shared" si="1"/>
        <v>34.323746316786355</v>
      </c>
      <c r="E49" s="10">
        <f t="shared" si="2"/>
        <v>333.09040411771258</v>
      </c>
    </row>
    <row r="50" spans="1:5">
      <c r="A50" s="31">
        <v>45340</v>
      </c>
      <c r="C50">
        <f t="shared" si="0"/>
        <v>183.97692126099975</v>
      </c>
      <c r="D50" s="10">
        <f t="shared" si="1"/>
        <v>33.482390485821384</v>
      </c>
      <c r="E50" s="10">
        <f t="shared" si="2"/>
        <v>334.47145203617811</v>
      </c>
    </row>
    <row r="51" spans="1:5">
      <c r="A51" s="31">
        <v>45341</v>
      </c>
      <c r="C51">
        <f t="shared" si="0"/>
        <v>160.4999715220921</v>
      </c>
      <c r="D51" s="10">
        <f t="shared" si="1"/>
        <v>8.894010294161717</v>
      </c>
      <c r="E51" s="10">
        <f t="shared" si="2"/>
        <v>312.10593275002248</v>
      </c>
    </row>
    <row r="52" spans="1:5">
      <c r="A52" s="31">
        <v>45342</v>
      </c>
      <c r="C52">
        <f t="shared" si="0"/>
        <v>137.1470908328339</v>
      </c>
      <c r="D52" s="10">
        <f t="shared" si="1"/>
        <v>-15.570555980777016</v>
      </c>
      <c r="E52" s="10">
        <f t="shared" si="2"/>
        <v>289.86473764644484</v>
      </c>
    </row>
    <row r="53" spans="1:5">
      <c r="A53" s="31">
        <v>45343</v>
      </c>
      <c r="C53">
        <f t="shared" si="0"/>
        <v>184.98976157087074</v>
      </c>
      <c r="D53" s="10">
        <f t="shared" si="1"/>
        <v>16.805826592458544</v>
      </c>
      <c r="E53" s="10">
        <f t="shared" si="2"/>
        <v>353.17369654928291</v>
      </c>
    </row>
    <row r="54" spans="1:5">
      <c r="A54" s="31">
        <v>45344</v>
      </c>
      <c r="C54">
        <f t="shared" si="0"/>
        <v>185.25960761462102</v>
      </c>
      <c r="D54" s="10">
        <f t="shared" si="1"/>
        <v>16.057734036880078</v>
      </c>
      <c r="E54" s="10">
        <f t="shared" si="2"/>
        <v>354.46148119236193</v>
      </c>
    </row>
    <row r="55" spans="1:5">
      <c r="A55" s="31">
        <v>45345</v>
      </c>
      <c r="C55">
        <f t="shared" si="0"/>
        <v>161.78265787571337</v>
      </c>
      <c r="D55" s="10">
        <f t="shared" si="1"/>
        <v>-8.4386376390587543</v>
      </c>
      <c r="E55" s="10">
        <f t="shared" si="2"/>
        <v>332.00395339048549</v>
      </c>
    </row>
    <row r="56" spans="1:5">
      <c r="A56" s="31">
        <v>45346</v>
      </c>
      <c r="C56">
        <f t="shared" si="0"/>
        <v>138.42977718645517</v>
      </c>
      <c r="D56" s="10">
        <f t="shared" si="1"/>
        <v>-32.812425244614587</v>
      </c>
      <c r="E56" s="10">
        <f t="shared" si="2"/>
        <v>309.67197961752493</v>
      </c>
    </row>
    <row r="57" spans="1:5">
      <c r="A57" s="31">
        <v>45347</v>
      </c>
      <c r="C57">
        <f t="shared" si="0"/>
        <v>186.27244792449201</v>
      </c>
      <c r="D57" s="10">
        <f t="shared" si="1"/>
        <v>0.99901813947388973</v>
      </c>
      <c r="E57" s="10">
        <f t="shared" si="2"/>
        <v>371.54587770951014</v>
      </c>
    </row>
    <row r="58" spans="1:5">
      <c r="A58" s="31">
        <v>45348</v>
      </c>
      <c r="C58">
        <f t="shared" si="0"/>
        <v>186.54229396824229</v>
      </c>
      <c r="D58" s="10">
        <f t="shared" si="1"/>
        <v>0.31649237053341039</v>
      </c>
      <c r="E58" s="10">
        <f t="shared" si="2"/>
        <v>372.76809556595117</v>
      </c>
    </row>
    <row r="59" spans="1:5">
      <c r="A59" s="31">
        <v>45349</v>
      </c>
      <c r="C59">
        <f t="shared" si="0"/>
        <v>163.06534422933464</v>
      </c>
      <c r="D59" s="10">
        <f t="shared" si="1"/>
        <v>-24.114971254417554</v>
      </c>
      <c r="E59" s="10">
        <f t="shared" si="2"/>
        <v>350.24565971308687</v>
      </c>
    </row>
    <row r="60" spans="1:5">
      <c r="A60" s="31">
        <v>45350</v>
      </c>
      <c r="C60">
        <f t="shared" si="0"/>
        <v>139.71246354007644</v>
      </c>
      <c r="D60" s="10">
        <f t="shared" si="1"/>
        <v>-48.424500906199683</v>
      </c>
      <c r="E60" s="10">
        <f t="shared" si="2"/>
        <v>327.84942798635257</v>
      </c>
    </row>
    <row r="61" spans="1:5">
      <c r="A61" s="31">
        <v>45351</v>
      </c>
      <c r="C61">
        <f t="shared" si="0"/>
        <v>187.55513427811329</v>
      </c>
      <c r="D61" s="10">
        <f t="shared" si="1"/>
        <v>-13.534942547464567</v>
      </c>
      <c r="E61" s="10">
        <f t="shared" si="2"/>
        <v>388.64521110369117</v>
      </c>
    </row>
    <row r="62" spans="1:5">
      <c r="A62" s="31">
        <v>45352</v>
      </c>
      <c r="C62">
        <f t="shared" si="0"/>
        <v>187.82498032186356</v>
      </c>
      <c r="D62" s="10">
        <f t="shared" si="1"/>
        <v>-14.168945117998135</v>
      </c>
      <c r="E62" s="10">
        <f t="shared" si="2"/>
        <v>389.81890576172526</v>
      </c>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62"/>
  <sheetViews>
    <sheetView workbookViewId="0">
      <selection activeCell="L3" sqref="L3"/>
    </sheetView>
  </sheetViews>
  <sheetFormatPr defaultRowHeight="15"/>
  <cols>
    <col min="1" max="1" width="11.85546875" customWidth="1"/>
    <col min="2" max="2" width="17.7109375" customWidth="1"/>
    <col min="3" max="3" width="26.28515625" customWidth="1"/>
    <col min="4" max="4" width="40.7109375" customWidth="1"/>
    <col min="5" max="5" width="40.42578125" customWidth="1"/>
    <col min="7" max="7" width="9.42578125" customWidth="1"/>
    <col min="8" max="8" width="7.28515625" customWidth="1"/>
  </cols>
  <sheetData>
    <row r="1" spans="1:8">
      <c r="A1" t="s">
        <v>45</v>
      </c>
      <c r="B1" t="s">
        <v>17</v>
      </c>
      <c r="C1" t="s">
        <v>162</v>
      </c>
      <c r="D1" t="s">
        <v>163</v>
      </c>
      <c r="E1" t="s">
        <v>164</v>
      </c>
      <c r="G1" t="s">
        <v>153</v>
      </c>
      <c r="H1" t="s">
        <v>154</v>
      </c>
    </row>
    <row r="2" spans="1:8">
      <c r="A2" s="31">
        <v>45292</v>
      </c>
      <c r="B2">
        <v>39.99</v>
      </c>
      <c r="G2" t="s">
        <v>155</v>
      </c>
      <c r="H2" s="75">
        <f>_xlfn.FORECAST.ETS.STAT($B$2:$B$36,$A$2:$A$36,1,1,1)</f>
        <v>0.25</v>
      </c>
    </row>
    <row r="3" spans="1:8">
      <c r="A3" s="31">
        <v>45293</v>
      </c>
      <c r="B3">
        <v>59.989999999999995</v>
      </c>
      <c r="G3" t="s">
        <v>156</v>
      </c>
      <c r="H3" s="75">
        <f>_xlfn.FORECAST.ETS.STAT($B$2:$B$36,$A$2:$A$36,2,1,1)</f>
        <v>1E-3</v>
      </c>
    </row>
    <row r="4" spans="1:8">
      <c r="A4" s="31">
        <v>45294</v>
      </c>
      <c r="B4">
        <v>114.99000000000001</v>
      </c>
      <c r="G4" t="s">
        <v>157</v>
      </c>
      <c r="H4" s="75">
        <f>_xlfn.FORECAST.ETS.STAT($B$2:$B$36,$A$2:$A$36,3,1,1)</f>
        <v>2.2204460492503131E-16</v>
      </c>
    </row>
    <row r="5" spans="1:8">
      <c r="A5" s="31">
        <v>45295</v>
      </c>
      <c r="B5">
        <v>54.989999999999995</v>
      </c>
      <c r="G5" t="s">
        <v>158</v>
      </c>
      <c r="H5" s="75">
        <f>_xlfn.FORECAST.ETS.STAT($B$2:$B$36,$A$2:$A$36,4,1,1)</f>
        <v>0.50745181800484307</v>
      </c>
    </row>
    <row r="6" spans="1:8">
      <c r="A6" s="31">
        <v>45296</v>
      </c>
      <c r="B6">
        <v>144.99</v>
      </c>
      <c r="G6" t="s">
        <v>159</v>
      </c>
      <c r="H6" s="75">
        <f>_xlfn.FORECAST.ETS.STAT($B$2:$B$36,$A$2:$A$36,5,1,1)</f>
        <v>0.24754982917361196</v>
      </c>
    </row>
    <row r="7" spans="1:8">
      <c r="A7" s="31">
        <v>45297</v>
      </c>
      <c r="B7">
        <v>54.989999999999995</v>
      </c>
      <c r="G7" t="s">
        <v>160</v>
      </c>
      <c r="H7" s="75">
        <f>_xlfn.FORECAST.ETS.STAT($B$2:$B$36,$A$2:$A$36,6,1,1)</f>
        <v>20.086634462691705</v>
      </c>
    </row>
    <row r="8" spans="1:8">
      <c r="A8" s="31">
        <v>45298</v>
      </c>
      <c r="B8">
        <v>89.990000000000009</v>
      </c>
      <c r="G8" t="s">
        <v>161</v>
      </c>
      <c r="H8" s="75">
        <f>_xlfn.FORECAST.ETS.STAT($B$2:$B$36,$A$2:$A$36,7,1,1)</f>
        <v>23.919802169340635</v>
      </c>
    </row>
    <row r="9" spans="1:8">
      <c r="A9" s="31">
        <v>45299</v>
      </c>
      <c r="B9">
        <v>84.990000000000009</v>
      </c>
    </row>
    <row r="10" spans="1:8">
      <c r="A10" s="31">
        <v>45300</v>
      </c>
      <c r="B10">
        <v>54.989999999999995</v>
      </c>
    </row>
    <row r="11" spans="1:8">
      <c r="A11" s="31">
        <v>45301</v>
      </c>
      <c r="B11">
        <v>114.99000000000001</v>
      </c>
    </row>
    <row r="12" spans="1:8">
      <c r="A12" s="31">
        <v>45302</v>
      </c>
      <c r="B12">
        <v>64.989999999999995</v>
      </c>
    </row>
    <row r="13" spans="1:8">
      <c r="A13" s="31">
        <v>45303</v>
      </c>
      <c r="B13">
        <v>74.990000000000009</v>
      </c>
    </row>
    <row r="14" spans="1:8">
      <c r="A14" s="31">
        <v>45304</v>
      </c>
      <c r="B14">
        <v>109.99000000000001</v>
      </c>
    </row>
    <row r="15" spans="1:8">
      <c r="A15" s="31">
        <v>45305</v>
      </c>
      <c r="B15">
        <v>119.99000000000001</v>
      </c>
    </row>
    <row r="16" spans="1:8">
      <c r="A16" s="31">
        <v>45306</v>
      </c>
      <c r="B16">
        <v>54.989999999999995</v>
      </c>
    </row>
    <row r="17" spans="1:2">
      <c r="A17" s="31">
        <v>45307</v>
      </c>
      <c r="B17">
        <v>89.990000000000009</v>
      </c>
    </row>
    <row r="18" spans="1:2">
      <c r="A18" s="31">
        <v>45308</v>
      </c>
      <c r="B18">
        <v>84.990000000000009</v>
      </c>
    </row>
    <row r="19" spans="1:2">
      <c r="A19" s="31">
        <v>45309</v>
      </c>
      <c r="B19">
        <v>54.989999999999995</v>
      </c>
    </row>
    <row r="20" spans="1:2">
      <c r="A20" s="31">
        <v>45310</v>
      </c>
      <c r="B20">
        <v>114.99000000000001</v>
      </c>
    </row>
    <row r="21" spans="1:2">
      <c r="A21" s="31">
        <v>45311</v>
      </c>
      <c r="B21">
        <v>64.989999999999995</v>
      </c>
    </row>
    <row r="22" spans="1:2">
      <c r="A22" s="31">
        <v>45312</v>
      </c>
      <c r="B22">
        <v>74.990000000000009</v>
      </c>
    </row>
    <row r="23" spans="1:2">
      <c r="A23" s="31">
        <v>45313</v>
      </c>
      <c r="B23">
        <v>109.99000000000001</v>
      </c>
    </row>
    <row r="24" spans="1:2">
      <c r="A24" s="31">
        <v>45314</v>
      </c>
      <c r="B24">
        <v>119.99000000000001</v>
      </c>
    </row>
    <row r="25" spans="1:2">
      <c r="A25" s="31">
        <v>45315</v>
      </c>
      <c r="B25">
        <v>54.989999999999995</v>
      </c>
    </row>
    <row r="26" spans="1:2">
      <c r="A26" s="31">
        <v>45316</v>
      </c>
      <c r="B26">
        <v>89.990000000000009</v>
      </c>
    </row>
    <row r="27" spans="1:2">
      <c r="A27" s="31">
        <v>45317</v>
      </c>
      <c r="B27">
        <v>84.990000000000009</v>
      </c>
    </row>
    <row r="28" spans="1:2">
      <c r="A28" s="31">
        <v>45318</v>
      </c>
      <c r="B28">
        <v>54.989999999999995</v>
      </c>
    </row>
    <row r="29" spans="1:2">
      <c r="A29" s="31">
        <v>45319</v>
      </c>
      <c r="B29">
        <v>114.99000000000001</v>
      </c>
    </row>
    <row r="30" spans="1:2">
      <c r="A30" s="31">
        <v>45320</v>
      </c>
      <c r="B30">
        <v>64.989999999999995</v>
      </c>
    </row>
    <row r="31" spans="1:2">
      <c r="A31" s="31">
        <v>45321</v>
      </c>
      <c r="B31">
        <v>74.990000000000009</v>
      </c>
    </row>
    <row r="32" spans="1:2">
      <c r="A32" s="31">
        <v>45322</v>
      </c>
      <c r="B32">
        <v>109.99000000000001</v>
      </c>
    </row>
    <row r="33" spans="1:5">
      <c r="A33" s="31">
        <v>45323</v>
      </c>
      <c r="B33">
        <v>89.990000000000009</v>
      </c>
    </row>
    <row r="34" spans="1:5">
      <c r="A34" s="31">
        <v>45324</v>
      </c>
      <c r="B34">
        <v>79.989999999999995</v>
      </c>
    </row>
    <row r="35" spans="1:5">
      <c r="A35" s="31">
        <v>45325</v>
      </c>
      <c r="B35">
        <v>49.99</v>
      </c>
    </row>
    <row r="36" spans="1:5">
      <c r="A36" s="31">
        <v>45326</v>
      </c>
      <c r="B36">
        <v>99.990000000000009</v>
      </c>
      <c r="C36">
        <v>99.990000000000009</v>
      </c>
      <c r="D36" s="10">
        <v>99.990000000000009</v>
      </c>
      <c r="E36" s="10">
        <v>99.990000000000009</v>
      </c>
    </row>
    <row r="37" spans="1:5">
      <c r="A37" s="31">
        <v>45327</v>
      </c>
      <c r="C37">
        <f t="shared" ref="C37:C62" si="0">_xlfn.FORECAST.ETS(A37,$B$2:$B$36,$A$2:$A$36,1,1)</f>
        <v>83.963685326508326</v>
      </c>
      <c r="D37" s="10">
        <f t="shared" ref="D37:D62" si="1">C37-_xlfn.FORECAST.ETS.CONFINT(A37,$B$2:$B$36,$A$2:$A$36,0.95,1,1)</f>
        <v>24.732223408047851</v>
      </c>
      <c r="E37" s="10">
        <f t="shared" ref="E37:E62" si="2">C37+_xlfn.FORECAST.ETS.CONFINT(A37,$B$2:$B$36,$A$2:$A$36,0.95,1,1)</f>
        <v>143.19514724496881</v>
      </c>
    </row>
    <row r="38" spans="1:5">
      <c r="A38" s="31">
        <v>45328</v>
      </c>
      <c r="C38">
        <f t="shared" si="0"/>
        <v>84.239876852333822</v>
      </c>
      <c r="D38" s="10">
        <f t="shared" si="1"/>
        <v>23.171090615279866</v>
      </c>
      <c r="E38" s="10">
        <f t="shared" si="2"/>
        <v>145.30866308938778</v>
      </c>
    </row>
    <row r="39" spans="1:5">
      <c r="A39" s="31">
        <v>45329</v>
      </c>
      <c r="C39">
        <f t="shared" si="0"/>
        <v>84.516068378159261</v>
      </c>
      <c r="D39" s="10">
        <f t="shared" si="1"/>
        <v>21.649607271503271</v>
      </c>
      <c r="E39" s="10">
        <f t="shared" si="2"/>
        <v>147.38252948481525</v>
      </c>
    </row>
    <row r="40" spans="1:5">
      <c r="A40" s="31">
        <v>45330</v>
      </c>
      <c r="C40">
        <f t="shared" si="0"/>
        <v>84.792259903984757</v>
      </c>
      <c r="D40" s="10">
        <f t="shared" si="1"/>
        <v>20.164410360979744</v>
      </c>
      <c r="E40" s="10">
        <f t="shared" si="2"/>
        <v>149.42010944698978</v>
      </c>
    </row>
    <row r="41" spans="1:5">
      <c r="A41" s="31">
        <v>45331</v>
      </c>
      <c r="C41">
        <f t="shared" si="0"/>
        <v>85.068451429810196</v>
      </c>
      <c r="D41" s="10">
        <f t="shared" si="1"/>
        <v>18.712557323597125</v>
      </c>
      <c r="E41" s="10">
        <f t="shared" si="2"/>
        <v>151.42434553602328</v>
      </c>
    </row>
    <row r="42" spans="1:5">
      <c r="A42" s="31">
        <v>45332</v>
      </c>
      <c r="C42">
        <f t="shared" si="0"/>
        <v>85.344642955635706</v>
      </c>
      <c r="D42" s="10">
        <f t="shared" si="1"/>
        <v>17.291456497896192</v>
      </c>
      <c r="E42" s="10">
        <f t="shared" si="2"/>
        <v>153.39782941337523</v>
      </c>
    </row>
    <row r="43" spans="1:5">
      <c r="A43" s="31">
        <v>45333</v>
      </c>
      <c r="C43">
        <f t="shared" si="0"/>
        <v>85.620834481461145</v>
      </c>
      <c r="D43" s="10">
        <f t="shared" si="1"/>
        <v>15.898811658423739</v>
      </c>
      <c r="E43" s="10">
        <f t="shared" si="2"/>
        <v>155.34285730449855</v>
      </c>
    </row>
    <row r="44" spans="1:5">
      <c r="A44" s="31">
        <v>45334</v>
      </c>
      <c r="C44">
        <f t="shared" si="0"/>
        <v>85.897026007286641</v>
      </c>
      <c r="D44" s="10">
        <f t="shared" si="1"/>
        <v>14.532577310333991</v>
      </c>
      <c r="E44" s="10">
        <f t="shared" si="2"/>
        <v>157.26147470423928</v>
      </c>
    </row>
    <row r="45" spans="1:5">
      <c r="A45" s="31">
        <v>45335</v>
      </c>
      <c r="C45">
        <f t="shared" si="0"/>
        <v>86.17321753311208</v>
      </c>
      <c r="D45" s="10">
        <f t="shared" si="1"/>
        <v>13.190922299024379</v>
      </c>
      <c r="E45" s="10">
        <f t="shared" si="2"/>
        <v>159.15551276719978</v>
      </c>
    </row>
    <row r="46" spans="1:5">
      <c r="A46" s="31">
        <v>45336</v>
      </c>
      <c r="C46">
        <f t="shared" si="0"/>
        <v>86.449409058937576</v>
      </c>
      <c r="D46" s="10">
        <f t="shared" si="1"/>
        <v>11.872199921594756</v>
      </c>
      <c r="E46" s="10">
        <f t="shared" si="2"/>
        <v>161.0266181962804</v>
      </c>
    </row>
    <row r="47" spans="1:5">
      <c r="A47" s="31">
        <v>45337</v>
      </c>
      <c r="C47">
        <f t="shared" si="0"/>
        <v>86.725600584763015</v>
      </c>
      <c r="D47" s="10">
        <f t="shared" si="1"/>
        <v>10.574923176151373</v>
      </c>
      <c r="E47" s="10">
        <f t="shared" si="2"/>
        <v>162.87627799337466</v>
      </c>
    </row>
    <row r="48" spans="1:5">
      <c r="A48" s="31">
        <v>45338</v>
      </c>
      <c r="C48">
        <f t="shared" si="0"/>
        <v>87.001792110588511</v>
      </c>
      <c r="D48" s="10">
        <f t="shared" si="1"/>
        <v>9.2977441105383178</v>
      </c>
      <c r="E48" s="10">
        <f t="shared" si="2"/>
        <v>164.70584011063869</v>
      </c>
    </row>
    <row r="49" spans="1:5">
      <c r="A49" s="31">
        <v>45339</v>
      </c>
      <c r="C49">
        <f t="shared" si="0"/>
        <v>87.27798363641395</v>
      </c>
      <c r="D49" s="10">
        <f t="shared" si="1"/>
        <v>8.039436471172877</v>
      </c>
      <c r="E49" s="10">
        <f t="shared" si="2"/>
        <v>166.51653080165502</v>
      </c>
    </row>
    <row r="50" spans="1:5">
      <c r="A50" s="31">
        <v>45340</v>
      </c>
      <c r="C50">
        <f t="shared" si="0"/>
        <v>87.554175162239446</v>
      </c>
      <c r="D50" s="10">
        <f t="shared" si="1"/>
        <v>6.7988810304322982</v>
      </c>
      <c r="E50" s="10">
        <f t="shared" si="2"/>
        <v>168.30946929404661</v>
      </c>
    </row>
    <row r="51" spans="1:5">
      <c r="A51" s="31">
        <v>45341</v>
      </c>
      <c r="C51">
        <f t="shared" si="0"/>
        <v>87.830366688064885</v>
      </c>
      <c r="D51" s="10">
        <f t="shared" si="1"/>
        <v>5.575053104710733</v>
      </c>
      <c r="E51" s="10">
        <f t="shared" si="2"/>
        <v>170.08568027141905</v>
      </c>
    </row>
    <row r="52" spans="1:5">
      <c r="A52" s="31">
        <v>45342</v>
      </c>
      <c r="C52">
        <f t="shared" si="0"/>
        <v>88.106558213890381</v>
      </c>
      <c r="D52" s="10">
        <f t="shared" si="1"/>
        <v>4.3670118768459361</v>
      </c>
      <c r="E52" s="10">
        <f t="shared" si="2"/>
        <v>171.84610455093483</v>
      </c>
    </row>
    <row r="53" spans="1:5">
      <c r="A53" s="31">
        <v>45343</v>
      </c>
      <c r="C53">
        <f t="shared" si="0"/>
        <v>88.38274973971582</v>
      </c>
      <c r="D53" s="10">
        <f t="shared" si="1"/>
        <v>3.1738912145536062</v>
      </c>
      <c r="E53" s="10">
        <f t="shared" si="2"/>
        <v>173.59160826487803</v>
      </c>
    </row>
    <row r="54" spans="1:5">
      <c r="A54" s="31">
        <v>45344</v>
      </c>
      <c r="C54">
        <f t="shared" si="0"/>
        <v>88.65894126554133</v>
      </c>
      <c r="D54" s="10">
        <f t="shared" si="1"/>
        <v>1.99489173686203</v>
      </c>
      <c r="E54" s="10">
        <f t="shared" si="2"/>
        <v>175.32299079422063</v>
      </c>
    </row>
    <row r="55" spans="1:5">
      <c r="A55" s="31">
        <v>45345</v>
      </c>
      <c r="C55">
        <f t="shared" si="0"/>
        <v>88.935132791366769</v>
      </c>
      <c r="D55" s="10">
        <f t="shared" si="1"/>
        <v>0.82927392766248431</v>
      </c>
      <c r="E55" s="10">
        <f t="shared" si="2"/>
        <v>177.04099165507105</v>
      </c>
    </row>
    <row r="56" spans="1:5">
      <c r="A56" s="31">
        <v>45346</v>
      </c>
      <c r="C56">
        <f t="shared" si="0"/>
        <v>89.211324317192265</v>
      </c>
      <c r="D56" s="10">
        <f t="shared" si="1"/>
        <v>-0.3236478674132286</v>
      </c>
      <c r="E56" s="10">
        <f t="shared" si="2"/>
        <v>178.74629650179776</v>
      </c>
    </row>
    <row r="57" spans="1:5">
      <c r="A57" s="31">
        <v>45347</v>
      </c>
      <c r="C57">
        <f t="shared" si="0"/>
        <v>89.487515843017704</v>
      </c>
      <c r="D57" s="10">
        <f t="shared" si="1"/>
        <v>-1.4645106951680162</v>
      </c>
      <c r="E57" s="10">
        <f t="shared" si="2"/>
        <v>180.43954238120341</v>
      </c>
    </row>
    <row r="58" spans="1:5">
      <c r="A58" s="31">
        <v>45348</v>
      </c>
      <c r="C58">
        <f t="shared" si="0"/>
        <v>89.7637073688432</v>
      </c>
      <c r="D58" s="10">
        <f t="shared" si="1"/>
        <v>-2.5939076109591497</v>
      </c>
      <c r="E58" s="10">
        <f t="shared" si="2"/>
        <v>182.12132234864555</v>
      </c>
    </row>
    <row r="59" spans="1:5">
      <c r="A59" s="31">
        <v>45349</v>
      </c>
      <c r="C59">
        <f t="shared" si="0"/>
        <v>90.039898894668639</v>
      </c>
      <c r="D59" s="10">
        <f t="shared" si="1"/>
        <v>-3.7123917487816271</v>
      </c>
      <c r="E59" s="10">
        <f t="shared" si="2"/>
        <v>183.79218953811892</v>
      </c>
    </row>
    <row r="60" spans="1:5">
      <c r="A60" s="31">
        <v>45350</v>
      </c>
      <c r="C60">
        <f t="shared" si="0"/>
        <v>90.316090420494135</v>
      </c>
      <c r="D60" s="10">
        <f t="shared" si="1"/>
        <v>-4.8204799220648482</v>
      </c>
      <c r="E60" s="10">
        <f t="shared" si="2"/>
        <v>185.45266076305313</v>
      </c>
    </row>
    <row r="61" spans="1:5">
      <c r="A61" s="31">
        <v>45351</v>
      </c>
      <c r="C61">
        <f t="shared" si="0"/>
        <v>90.592281946319574</v>
      </c>
      <c r="D61" s="10">
        <f t="shared" si="1"/>
        <v>-5.9186558195196142</v>
      </c>
      <c r="E61" s="10">
        <f t="shared" si="2"/>
        <v>187.10321971215876</v>
      </c>
    </row>
    <row r="62" spans="1:5">
      <c r="A62" s="31">
        <v>45352</v>
      </c>
      <c r="C62">
        <f t="shared" si="0"/>
        <v>90.86847347214507</v>
      </c>
      <c r="D62" s="10">
        <f t="shared" si="1"/>
        <v>-7.0073728502094497</v>
      </c>
      <c r="E62" s="10">
        <f t="shared" si="2"/>
        <v>188.74431979449957</v>
      </c>
    </row>
  </sheetData>
  <pageMargins left="0.7" right="0.7" top="0.75" bottom="0.75" header="0.3" footer="0.3"/>
  <drawing r:id="rId1"/>
  <tableParts count="2">
    <tablePart r:id="rId2"/>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62"/>
  <sheetViews>
    <sheetView workbookViewId="0"/>
  </sheetViews>
  <sheetFormatPr defaultRowHeight="15"/>
  <cols>
    <col min="1" max="1" width="11.85546875" customWidth="1"/>
    <col min="2" max="2" width="15.42578125" customWidth="1"/>
    <col min="3" max="3" width="24.140625" customWidth="1"/>
    <col min="4" max="4" width="38.42578125" customWidth="1"/>
    <col min="5" max="5" width="38.140625" customWidth="1"/>
    <col min="7" max="7" width="9.42578125" customWidth="1"/>
    <col min="8" max="8" width="7.28515625" customWidth="1"/>
  </cols>
  <sheetData>
    <row r="1" spans="1:8">
      <c r="A1" t="s">
        <v>45</v>
      </c>
      <c r="B1" t="s">
        <v>18</v>
      </c>
      <c r="C1" t="s">
        <v>165</v>
      </c>
      <c r="D1" t="s">
        <v>166</v>
      </c>
      <c r="E1" t="s">
        <v>167</v>
      </c>
      <c r="G1" t="s">
        <v>153</v>
      </c>
      <c r="H1" t="s">
        <v>154</v>
      </c>
    </row>
    <row r="2" spans="1:8">
      <c r="A2" s="31">
        <v>45292</v>
      </c>
      <c r="B2" s="10">
        <v>1.5</v>
      </c>
      <c r="G2" t="s">
        <v>155</v>
      </c>
      <c r="H2" s="75">
        <f>_xlfn.FORECAST.ETS.STAT($B$2:$B$36,$A$2:$A$36,1,1,1)</f>
        <v>0.126</v>
      </c>
    </row>
    <row r="3" spans="1:8">
      <c r="A3" s="31">
        <v>45293</v>
      </c>
      <c r="B3" s="10">
        <v>3.5</v>
      </c>
      <c r="G3" t="s">
        <v>156</v>
      </c>
      <c r="H3" s="75">
        <f>_xlfn.FORECAST.ETS.STAT($B$2:$B$36,$A$2:$A$36,2,1,1)</f>
        <v>1E-3</v>
      </c>
    </row>
    <row r="4" spans="1:8">
      <c r="A4" s="31">
        <v>45294</v>
      </c>
      <c r="B4" s="10">
        <v>1.5</v>
      </c>
      <c r="G4" t="s">
        <v>157</v>
      </c>
      <c r="H4" s="75">
        <f>_xlfn.FORECAST.ETS.STAT($B$2:$B$36,$A$2:$A$36,3,1,1)</f>
        <v>2.2204460492503131E-16</v>
      </c>
    </row>
    <row r="5" spans="1:8">
      <c r="A5" s="31">
        <v>45295</v>
      </c>
      <c r="B5" s="10">
        <v>2.5</v>
      </c>
      <c r="G5" t="s">
        <v>158</v>
      </c>
      <c r="H5" s="75">
        <f>_xlfn.FORECAST.ETS.STAT($B$2:$B$36,$A$2:$A$36,4,1,1)</f>
        <v>0.42011774055050899</v>
      </c>
    </row>
    <row r="6" spans="1:8">
      <c r="A6" s="31">
        <v>45296</v>
      </c>
      <c r="B6" s="10">
        <v>1</v>
      </c>
      <c r="G6" t="s">
        <v>159</v>
      </c>
      <c r="H6" s="75">
        <f>_xlfn.FORECAST.ETS.STAT($B$2:$B$36,$A$2:$A$36,5,1,1)</f>
        <v>0.16621009492226549</v>
      </c>
    </row>
    <row r="7" spans="1:8">
      <c r="A7" s="31">
        <v>45297</v>
      </c>
      <c r="B7" s="10">
        <v>3.5</v>
      </c>
      <c r="G7" t="s">
        <v>160</v>
      </c>
      <c r="H7" s="75">
        <f>_xlfn.FORECAST.ETS.STAT($B$2:$B$36,$A$2:$A$36,6,1,1)</f>
        <v>0.39386038176610216</v>
      </c>
    </row>
    <row r="8" spans="1:8">
      <c r="A8" s="31">
        <v>45298</v>
      </c>
      <c r="B8" s="10">
        <v>2</v>
      </c>
      <c r="G8" t="s">
        <v>161</v>
      </c>
      <c r="H8" s="75">
        <f>_xlfn.FORECAST.ETS.STAT($B$2:$B$36,$A$2:$A$36,7,1,1)</f>
        <v>0.50808414374593103</v>
      </c>
    </row>
    <row r="9" spans="1:8">
      <c r="A9" s="31">
        <v>45299</v>
      </c>
      <c r="B9" s="10">
        <v>2.5</v>
      </c>
    </row>
    <row r="10" spans="1:8">
      <c r="A10" s="31">
        <v>45300</v>
      </c>
      <c r="B10" s="10">
        <v>2.5</v>
      </c>
    </row>
    <row r="11" spans="1:8">
      <c r="A11" s="31">
        <v>45301</v>
      </c>
      <c r="B11" s="10">
        <v>3</v>
      </c>
    </row>
    <row r="12" spans="1:8">
      <c r="A12" s="31">
        <v>45302</v>
      </c>
      <c r="B12" s="10">
        <v>2.5</v>
      </c>
    </row>
    <row r="13" spans="1:8">
      <c r="A13" s="31">
        <v>45303</v>
      </c>
      <c r="B13" s="10">
        <v>2.5</v>
      </c>
    </row>
    <row r="14" spans="1:8">
      <c r="A14" s="31">
        <v>45304</v>
      </c>
      <c r="B14" s="10">
        <v>1.5</v>
      </c>
    </row>
    <row r="15" spans="1:8">
      <c r="A15" s="31">
        <v>45305</v>
      </c>
      <c r="B15" s="10">
        <v>2</v>
      </c>
    </row>
    <row r="16" spans="1:8">
      <c r="A16" s="31">
        <v>45306</v>
      </c>
      <c r="B16" s="10">
        <v>3.5</v>
      </c>
    </row>
    <row r="17" spans="1:2">
      <c r="A17" s="31">
        <v>45307</v>
      </c>
      <c r="B17" s="10">
        <v>2</v>
      </c>
    </row>
    <row r="18" spans="1:2">
      <c r="A18" s="31">
        <v>45308</v>
      </c>
      <c r="B18" s="10">
        <v>2.5</v>
      </c>
    </row>
    <row r="19" spans="1:2">
      <c r="A19" s="31">
        <v>45309</v>
      </c>
      <c r="B19" s="10">
        <v>2.5</v>
      </c>
    </row>
    <row r="20" spans="1:2">
      <c r="A20" s="31">
        <v>45310</v>
      </c>
      <c r="B20" s="10">
        <v>3</v>
      </c>
    </row>
    <row r="21" spans="1:2">
      <c r="A21" s="31">
        <v>45311</v>
      </c>
      <c r="B21" s="10">
        <v>2.5</v>
      </c>
    </row>
    <row r="22" spans="1:2">
      <c r="A22" s="31">
        <v>45312</v>
      </c>
      <c r="B22" s="10">
        <v>2.5</v>
      </c>
    </row>
    <row r="23" spans="1:2">
      <c r="A23" s="31">
        <v>45313</v>
      </c>
      <c r="B23" s="10">
        <v>1.5</v>
      </c>
    </row>
    <row r="24" spans="1:2">
      <c r="A24" s="31">
        <v>45314</v>
      </c>
      <c r="B24" s="10">
        <v>2</v>
      </c>
    </row>
    <row r="25" spans="1:2">
      <c r="A25" s="31">
        <v>45315</v>
      </c>
      <c r="B25" s="10">
        <v>3.5</v>
      </c>
    </row>
    <row r="26" spans="1:2">
      <c r="A26" s="31">
        <v>45316</v>
      </c>
      <c r="B26" s="10">
        <v>2</v>
      </c>
    </row>
    <row r="27" spans="1:2">
      <c r="A27" s="31">
        <v>45317</v>
      </c>
      <c r="B27" s="10">
        <v>2.5</v>
      </c>
    </row>
    <row r="28" spans="1:2">
      <c r="A28" s="31">
        <v>45318</v>
      </c>
      <c r="B28" s="10">
        <v>2.5</v>
      </c>
    </row>
    <row r="29" spans="1:2">
      <c r="A29" s="31">
        <v>45319</v>
      </c>
      <c r="B29" s="10">
        <v>3</v>
      </c>
    </row>
    <row r="30" spans="1:2">
      <c r="A30" s="31">
        <v>45320</v>
      </c>
      <c r="B30" s="10">
        <v>2.5</v>
      </c>
    </row>
    <row r="31" spans="1:2">
      <c r="A31" s="31">
        <v>45321</v>
      </c>
      <c r="B31" s="10">
        <v>2.5</v>
      </c>
    </row>
    <row r="32" spans="1:2">
      <c r="A32" s="31">
        <v>45322</v>
      </c>
      <c r="B32" s="10">
        <v>1.5</v>
      </c>
    </row>
    <row r="33" spans="1:5">
      <c r="A33" s="31">
        <v>45323</v>
      </c>
      <c r="B33" s="10">
        <v>3</v>
      </c>
    </row>
    <row r="34" spans="1:5">
      <c r="A34" s="31">
        <v>45324</v>
      </c>
      <c r="B34" s="10">
        <v>2</v>
      </c>
    </row>
    <row r="35" spans="1:5">
      <c r="A35" s="31">
        <v>45325</v>
      </c>
      <c r="B35" s="10">
        <v>3</v>
      </c>
    </row>
    <row r="36" spans="1:5">
      <c r="A36" s="31">
        <v>45326</v>
      </c>
      <c r="B36" s="10">
        <v>2</v>
      </c>
      <c r="C36" s="10">
        <v>2</v>
      </c>
      <c r="D36" s="10">
        <v>2</v>
      </c>
      <c r="E36" s="10">
        <v>2</v>
      </c>
    </row>
    <row r="37" spans="1:5">
      <c r="A37" s="31">
        <v>45327</v>
      </c>
      <c r="C37" s="10">
        <f t="shared" ref="C37:C62" si="0">_xlfn.FORECAST.ETS(A37,$B$2:$B$36,$A$2:$A$36,1,1)</f>
        <v>2.487500902290618</v>
      </c>
      <c r="D37" s="10">
        <f t="shared" ref="D37:D62" si="1">C37-_xlfn.FORECAST.ETS.CONFINT(A37,$B$2:$B$36,$A$2:$A$36,0.95,1,1)</f>
        <v>1.0798827411101521</v>
      </c>
      <c r="E37" s="10">
        <f t="shared" ref="E37:E62" si="2">C37+_xlfn.FORECAST.ETS.CONFINT(A37,$B$2:$B$36,$A$2:$A$36,0.95,1,1)</f>
        <v>3.8951190634710837</v>
      </c>
    </row>
    <row r="38" spans="1:5">
      <c r="A38" s="31">
        <v>45328</v>
      </c>
      <c r="C38" s="10">
        <f t="shared" si="0"/>
        <v>2.497518004505705</v>
      </c>
      <c r="D38" s="10">
        <f t="shared" si="1"/>
        <v>1.0785935142474854</v>
      </c>
      <c r="E38" s="10">
        <f t="shared" si="2"/>
        <v>3.9164424947639249</v>
      </c>
    </row>
    <row r="39" spans="1:5">
      <c r="A39" s="31">
        <v>45329</v>
      </c>
      <c r="C39" s="10">
        <f t="shared" si="0"/>
        <v>2.5075351067207952</v>
      </c>
      <c r="D39" s="10">
        <f t="shared" si="1"/>
        <v>1.0772170355945228</v>
      </c>
      <c r="E39" s="10">
        <f t="shared" si="2"/>
        <v>3.9378531778470673</v>
      </c>
    </row>
    <row r="40" spans="1:5">
      <c r="A40" s="31">
        <v>45330</v>
      </c>
      <c r="C40" s="10">
        <f t="shared" si="0"/>
        <v>2.5175522089358817</v>
      </c>
      <c r="D40" s="10">
        <f t="shared" si="1"/>
        <v>1.0757539993828429</v>
      </c>
      <c r="E40" s="10">
        <f t="shared" si="2"/>
        <v>3.9593504184889206</v>
      </c>
    </row>
    <row r="41" spans="1:5">
      <c r="A41" s="31">
        <v>45331</v>
      </c>
      <c r="C41" s="10">
        <f t="shared" si="0"/>
        <v>2.5275693111509723</v>
      </c>
      <c r="D41" s="10">
        <f t="shared" si="1"/>
        <v>1.0742050934573391</v>
      </c>
      <c r="E41" s="10">
        <f t="shared" si="2"/>
        <v>3.9809335288446057</v>
      </c>
    </row>
    <row r="42" spans="1:5">
      <c r="A42" s="31">
        <v>45332</v>
      </c>
      <c r="C42" s="10">
        <f t="shared" si="0"/>
        <v>2.5375864133660588</v>
      </c>
      <c r="D42" s="10">
        <f t="shared" si="1"/>
        <v>1.072570999121625</v>
      </c>
      <c r="E42" s="10">
        <f t="shared" si="2"/>
        <v>4.0026018276104924</v>
      </c>
    </row>
    <row r="43" spans="1:5">
      <c r="A43" s="31">
        <v>45333</v>
      </c>
      <c r="C43" s="10">
        <f t="shared" si="0"/>
        <v>2.5476035155811489</v>
      </c>
      <c r="D43" s="10">
        <f t="shared" si="1"/>
        <v>1.0708523909996184</v>
      </c>
      <c r="E43" s="10">
        <f t="shared" si="2"/>
        <v>4.0243546401626791</v>
      </c>
    </row>
    <row r="44" spans="1:5">
      <c r="A44" s="31">
        <v>45334</v>
      </c>
      <c r="C44" s="10">
        <f t="shared" si="0"/>
        <v>2.5576206177962355</v>
      </c>
      <c r="D44" s="10">
        <f t="shared" si="1"/>
        <v>1.0690499369123627</v>
      </c>
      <c r="E44" s="10">
        <f t="shared" si="2"/>
        <v>4.0461912986801085</v>
      </c>
    </row>
    <row r="45" spans="1:5">
      <c r="A45" s="31">
        <v>45335</v>
      </c>
      <c r="C45" s="10">
        <f t="shared" si="0"/>
        <v>2.5676377200113261</v>
      </c>
      <c r="D45" s="10">
        <f t="shared" si="1"/>
        <v>1.0671642977694158</v>
      </c>
      <c r="E45" s="10">
        <f t="shared" si="2"/>
        <v>4.0681111422532368</v>
      </c>
    </row>
    <row r="46" spans="1:5">
      <c r="A46" s="31">
        <v>45336</v>
      </c>
      <c r="C46" s="10">
        <f t="shared" si="0"/>
        <v>2.5776548222264126</v>
      </c>
      <c r="D46" s="10">
        <f t="shared" si="1"/>
        <v>1.0651961274739212</v>
      </c>
      <c r="E46" s="10">
        <f t="shared" si="2"/>
        <v>4.0901135169789038</v>
      </c>
    </row>
    <row r="47" spans="1:5">
      <c r="A47" s="31">
        <v>45337</v>
      </c>
      <c r="C47" s="10">
        <f t="shared" si="0"/>
        <v>2.5876719244415027</v>
      </c>
      <c r="D47" s="10">
        <f t="shared" si="1"/>
        <v>1.0631460728407391</v>
      </c>
      <c r="E47" s="10">
        <f t="shared" si="2"/>
        <v>4.1121977760422661</v>
      </c>
    </row>
    <row r="48" spans="1:5">
      <c r="A48" s="31">
        <v>45338</v>
      </c>
      <c r="C48" s="10">
        <f t="shared" si="0"/>
        <v>2.5976890266565897</v>
      </c>
      <c r="D48" s="10">
        <f t="shared" si="1"/>
        <v>1.0610147735268007</v>
      </c>
      <c r="E48" s="10">
        <f t="shared" si="2"/>
        <v>4.1343632797863785</v>
      </c>
    </row>
    <row r="49" spans="1:5">
      <c r="A49" s="31">
        <v>45339</v>
      </c>
      <c r="C49" s="10">
        <f t="shared" si="0"/>
        <v>2.6077061288716799</v>
      </c>
      <c r="D49" s="10">
        <f t="shared" si="1"/>
        <v>1.0588028619731078</v>
      </c>
      <c r="E49" s="10">
        <f t="shared" si="2"/>
        <v>4.1566093957702517</v>
      </c>
    </row>
    <row r="50" spans="1:5">
      <c r="A50" s="31">
        <v>45340</v>
      </c>
      <c r="C50" s="10">
        <f t="shared" si="0"/>
        <v>2.6177232310867664</v>
      </c>
      <c r="D50" s="10">
        <f t="shared" si="1"/>
        <v>1.0565109633576042</v>
      </c>
      <c r="E50" s="10">
        <f t="shared" si="2"/>
        <v>4.1789354988159282</v>
      </c>
    </row>
    <row r="51" spans="1:5">
      <c r="A51" s="31">
        <v>45341</v>
      </c>
      <c r="C51" s="10">
        <f t="shared" si="0"/>
        <v>2.627740333301857</v>
      </c>
      <c r="D51" s="10">
        <f t="shared" si="1"/>
        <v>1.0541396955583855</v>
      </c>
      <c r="E51" s="10">
        <f t="shared" si="2"/>
        <v>4.2013409710453287</v>
      </c>
    </row>
    <row r="52" spans="1:5">
      <c r="A52" s="31">
        <v>45342</v>
      </c>
      <c r="C52" s="10">
        <f t="shared" si="0"/>
        <v>2.6377574355169435</v>
      </c>
      <c r="D52" s="10">
        <f t="shared" si="1"/>
        <v>1.0516896691265138</v>
      </c>
      <c r="E52" s="10">
        <f t="shared" si="2"/>
        <v>4.2238252019073732</v>
      </c>
    </row>
    <row r="53" spans="1:5">
      <c r="A53" s="31">
        <v>45343</v>
      </c>
      <c r="C53" s="10">
        <f t="shared" si="0"/>
        <v>2.6477745377320336</v>
      </c>
      <c r="D53" s="10">
        <f t="shared" si="1"/>
        <v>1.0491614872679731</v>
      </c>
      <c r="E53" s="10">
        <f t="shared" si="2"/>
        <v>4.246387588196094</v>
      </c>
    </row>
    <row r="54" spans="1:5">
      <c r="A54" s="31">
        <v>45344</v>
      </c>
      <c r="C54" s="10">
        <f t="shared" si="0"/>
        <v>2.6577916399471206</v>
      </c>
      <c r="D54" s="10">
        <f t="shared" si="1"/>
        <v>1.0465557458340702</v>
      </c>
      <c r="E54" s="10">
        <f t="shared" si="2"/>
        <v>4.2690275340601715</v>
      </c>
    </row>
    <row r="55" spans="1:5">
      <c r="A55" s="31">
        <v>45345</v>
      </c>
      <c r="C55" s="10">
        <f t="shared" si="0"/>
        <v>2.6678087421622108</v>
      </c>
      <c r="D55" s="10">
        <f t="shared" si="1"/>
        <v>1.0438730333198567</v>
      </c>
      <c r="E55" s="10">
        <f t="shared" si="2"/>
        <v>4.2917444510045648</v>
      </c>
    </row>
    <row r="56" spans="1:5">
      <c r="A56" s="31">
        <v>45346</v>
      </c>
      <c r="C56" s="10">
        <f t="shared" si="0"/>
        <v>2.6778258443772973</v>
      </c>
      <c r="D56" s="10">
        <f t="shared" si="1"/>
        <v>1.0411139308699453</v>
      </c>
      <c r="E56" s="10">
        <f t="shared" si="2"/>
        <v>4.3145377578846489</v>
      </c>
    </row>
    <row r="57" spans="1:5">
      <c r="A57" s="31">
        <v>45347</v>
      </c>
      <c r="C57" s="10">
        <f t="shared" si="0"/>
        <v>2.6878429465923874</v>
      </c>
      <c r="D57" s="10">
        <f t="shared" si="1"/>
        <v>1.038279012291327</v>
      </c>
      <c r="E57" s="10">
        <f t="shared" si="2"/>
        <v>4.3374068808934476</v>
      </c>
    </row>
    <row r="58" spans="1:5">
      <c r="A58" s="31">
        <v>45348</v>
      </c>
      <c r="C58" s="10">
        <f t="shared" si="0"/>
        <v>2.6978600488074744</v>
      </c>
      <c r="D58" s="10">
        <f t="shared" si="1"/>
        <v>1.0353688440726103</v>
      </c>
      <c r="E58" s="10">
        <f t="shared" si="2"/>
        <v>4.3603512535423388</v>
      </c>
    </row>
    <row r="59" spans="1:5">
      <c r="A59" s="31">
        <v>45349</v>
      </c>
      <c r="C59" s="10">
        <f t="shared" si="0"/>
        <v>2.7078771510225645</v>
      </c>
      <c r="D59" s="10">
        <f t="shared" si="1"/>
        <v>1.0323839854093371</v>
      </c>
      <c r="E59" s="10">
        <f t="shared" si="2"/>
        <v>4.3833703166357925</v>
      </c>
    </row>
    <row r="60" spans="1:5">
      <c r="A60" s="31">
        <v>45350</v>
      </c>
      <c r="C60" s="10">
        <f t="shared" si="0"/>
        <v>2.7178942532376511</v>
      </c>
      <c r="D60" s="10">
        <f t="shared" si="1"/>
        <v>1.029324988234841</v>
      </c>
      <c r="E60" s="10">
        <f t="shared" si="2"/>
        <v>4.4064635182404608</v>
      </c>
    </row>
    <row r="61" spans="1:5">
      <c r="A61" s="31">
        <v>45351</v>
      </c>
      <c r="C61" s="10">
        <f t="shared" si="0"/>
        <v>2.7279113554527417</v>
      </c>
      <c r="D61" s="10">
        <f t="shared" si="1"/>
        <v>1.0261923972563407</v>
      </c>
      <c r="E61" s="10">
        <f t="shared" si="2"/>
        <v>4.4296303136491426</v>
      </c>
    </row>
    <row r="62" spans="1:5">
      <c r="A62" s="31">
        <v>45352</v>
      </c>
      <c r="C62" s="10">
        <f t="shared" si="0"/>
        <v>2.7379284576678282</v>
      </c>
      <c r="D62" s="10">
        <f t="shared" si="1"/>
        <v>1.022986749995771</v>
      </c>
      <c r="E62" s="10">
        <f t="shared" si="2"/>
        <v>4.4528701653398857</v>
      </c>
    </row>
  </sheetData>
  <pageMargins left="0.7" right="0.7" top="0.75" bottom="0.75" header="0.3" footer="0.3"/>
  <drawing r:id="rId1"/>
  <tableParts count="2">
    <tablePart r:id="rId2"/>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71"/>
  <sheetViews>
    <sheetView workbookViewId="0">
      <selection activeCell="I15" sqref="I15"/>
    </sheetView>
  </sheetViews>
  <sheetFormatPr defaultRowHeight="15"/>
  <cols>
    <col min="1" max="1" width="19.85546875" style="10" bestFit="1" customWidth="1"/>
    <col min="2" max="2" width="17.5703125" style="10" bestFit="1" customWidth="1"/>
    <col min="3" max="3" width="14" style="10" bestFit="1" customWidth="1"/>
  </cols>
  <sheetData>
    <row r="1" spans="1:3" ht="15.75">
      <c r="A1" s="8" t="s">
        <v>17</v>
      </c>
      <c r="B1" s="8" t="s">
        <v>18</v>
      </c>
      <c r="C1" s="11" t="s">
        <v>20</v>
      </c>
    </row>
    <row r="2" spans="1:3">
      <c r="A2" s="7">
        <v>49.99</v>
      </c>
      <c r="B2" s="7">
        <v>2</v>
      </c>
      <c r="C2" s="12">
        <v>109.97799999999999</v>
      </c>
    </row>
    <row r="3" spans="1:3">
      <c r="A3" s="7">
        <v>29.99</v>
      </c>
      <c r="B3" s="7">
        <v>1</v>
      </c>
      <c r="C3" s="12">
        <v>32.988999999999997</v>
      </c>
    </row>
    <row r="4" spans="1:3">
      <c r="A4" s="7">
        <v>99.99</v>
      </c>
      <c r="B4" s="7">
        <v>3</v>
      </c>
      <c r="C4" s="12">
        <v>329.96699999999998</v>
      </c>
    </row>
    <row r="5" spans="1:3">
      <c r="A5" s="7">
        <v>19.989999999999998</v>
      </c>
      <c r="B5" s="7">
        <v>4</v>
      </c>
      <c r="C5" s="12">
        <v>87.956000000000003</v>
      </c>
    </row>
    <row r="6" spans="1:3">
      <c r="A6" s="7">
        <v>149.99</v>
      </c>
      <c r="B6" s="7">
        <v>1</v>
      </c>
      <c r="C6" s="12">
        <v>164.989</v>
      </c>
    </row>
    <row r="7" spans="1:3">
      <c r="A7" s="7">
        <v>79.989999999999995</v>
      </c>
      <c r="B7" s="7">
        <v>2</v>
      </c>
      <c r="C7" s="12">
        <v>175.97800000000001</v>
      </c>
    </row>
    <row r="8" spans="1:3">
      <c r="A8" s="7">
        <v>39.99</v>
      </c>
      <c r="B8" s="7">
        <v>3</v>
      </c>
      <c r="C8" s="12">
        <v>131.96700000000001</v>
      </c>
    </row>
    <row r="9" spans="1:3">
      <c r="A9" s="7">
        <v>69.989999999999995</v>
      </c>
      <c r="B9" s="7">
        <v>2</v>
      </c>
      <c r="C9" s="12">
        <v>153.97800000000001</v>
      </c>
    </row>
    <row r="10" spans="1:3">
      <c r="A10" s="7">
        <v>89.99</v>
      </c>
      <c r="B10" s="7">
        <v>1</v>
      </c>
      <c r="C10" s="12">
        <v>98.989000000000004</v>
      </c>
    </row>
    <row r="11" spans="1:3">
      <c r="A11" s="7">
        <v>199.99</v>
      </c>
      <c r="B11" s="7">
        <v>1</v>
      </c>
      <c r="C11" s="12">
        <v>219.989</v>
      </c>
    </row>
    <row r="12" spans="1:3">
      <c r="A12" s="7">
        <v>29.99</v>
      </c>
      <c r="B12" s="7">
        <v>5</v>
      </c>
      <c r="C12" s="12">
        <v>164.94499999999999</v>
      </c>
    </row>
    <row r="13" spans="1:3">
      <c r="A13" s="7">
        <v>79.989999999999995</v>
      </c>
      <c r="B13" s="7">
        <v>2</v>
      </c>
      <c r="C13" s="12">
        <v>175.97800000000001</v>
      </c>
    </row>
    <row r="14" spans="1:3">
      <c r="A14" s="7">
        <v>49.99</v>
      </c>
      <c r="B14" s="7">
        <v>3</v>
      </c>
      <c r="C14" s="12">
        <v>164.96700000000001</v>
      </c>
    </row>
    <row r="15" spans="1:3">
      <c r="A15" s="7">
        <v>129.99</v>
      </c>
      <c r="B15" s="7">
        <v>1</v>
      </c>
      <c r="C15" s="12">
        <v>142.989</v>
      </c>
    </row>
    <row r="16" spans="1:3">
      <c r="A16" s="7">
        <v>19.989999999999998</v>
      </c>
      <c r="B16" s="7">
        <v>4</v>
      </c>
      <c r="C16" s="12">
        <v>87.956000000000003</v>
      </c>
    </row>
    <row r="17" spans="1:3">
      <c r="A17" s="7">
        <v>149.99</v>
      </c>
      <c r="B17" s="7">
        <v>1</v>
      </c>
      <c r="C17" s="12">
        <v>164.989</v>
      </c>
    </row>
    <row r="18" spans="1:3">
      <c r="A18" s="7">
        <v>69.989999999999995</v>
      </c>
      <c r="B18" s="7">
        <v>2</v>
      </c>
      <c r="C18" s="12">
        <v>153.97800000000001</v>
      </c>
    </row>
    <row r="19" spans="1:3">
      <c r="A19" s="7">
        <v>39.99</v>
      </c>
      <c r="B19" s="7">
        <v>3</v>
      </c>
      <c r="C19" s="12">
        <v>131.96700000000001</v>
      </c>
    </row>
    <row r="20" spans="1:3">
      <c r="A20" s="7">
        <v>199.99</v>
      </c>
      <c r="B20" s="7">
        <v>1</v>
      </c>
      <c r="C20" s="12">
        <v>219.989</v>
      </c>
    </row>
    <row r="21" spans="1:3">
      <c r="A21" s="7">
        <v>29.99</v>
      </c>
      <c r="B21" s="7">
        <v>5</v>
      </c>
      <c r="C21" s="12">
        <v>164.94499999999999</v>
      </c>
    </row>
    <row r="22" spans="1:3">
      <c r="A22" s="7">
        <v>79.989999999999995</v>
      </c>
      <c r="B22" s="7">
        <v>2</v>
      </c>
      <c r="C22" s="12">
        <v>175.97800000000001</v>
      </c>
    </row>
    <row r="23" spans="1:3">
      <c r="A23" s="7">
        <v>49.99</v>
      </c>
      <c r="B23" s="7">
        <v>3</v>
      </c>
      <c r="C23" s="12">
        <v>164.96700000000001</v>
      </c>
    </row>
    <row r="24" spans="1:3">
      <c r="A24" s="7">
        <v>129.99</v>
      </c>
      <c r="B24" s="7">
        <v>1</v>
      </c>
      <c r="C24" s="12">
        <v>142.989</v>
      </c>
    </row>
    <row r="25" spans="1:3">
      <c r="A25" s="7">
        <v>19.989999999999998</v>
      </c>
      <c r="B25" s="7">
        <v>4</v>
      </c>
      <c r="C25" s="12">
        <v>87.956000000000003</v>
      </c>
    </row>
    <row r="26" spans="1:3">
      <c r="A26" s="7">
        <v>149.99</v>
      </c>
      <c r="B26" s="7">
        <v>1</v>
      </c>
      <c r="C26" s="12">
        <v>164.989</v>
      </c>
    </row>
    <row r="27" spans="1:3">
      <c r="A27" s="7">
        <v>69.989999999999995</v>
      </c>
      <c r="B27" s="7">
        <v>2</v>
      </c>
      <c r="C27" s="12">
        <v>153.97800000000001</v>
      </c>
    </row>
    <row r="28" spans="1:3">
      <c r="A28" s="7">
        <v>39.99</v>
      </c>
      <c r="B28" s="7">
        <v>3</v>
      </c>
      <c r="C28" s="12">
        <v>131.96700000000001</v>
      </c>
    </row>
    <row r="29" spans="1:3">
      <c r="A29" s="7">
        <v>199.99</v>
      </c>
      <c r="B29" s="7">
        <v>1</v>
      </c>
      <c r="C29" s="12">
        <v>219.989</v>
      </c>
    </row>
    <row r="30" spans="1:3">
      <c r="A30" s="7">
        <v>29.99</v>
      </c>
      <c r="B30" s="7">
        <v>5</v>
      </c>
      <c r="C30" s="12">
        <v>164.94499999999999</v>
      </c>
    </row>
    <row r="31" spans="1:3">
      <c r="A31" s="7">
        <v>79.989999999999995</v>
      </c>
      <c r="B31" s="7">
        <v>2</v>
      </c>
      <c r="C31" s="12">
        <v>175.97800000000001</v>
      </c>
    </row>
    <row r="32" spans="1:3">
      <c r="A32" s="7">
        <v>49.99</v>
      </c>
      <c r="B32" s="7">
        <v>3</v>
      </c>
      <c r="C32" s="12">
        <v>164.96700000000001</v>
      </c>
    </row>
    <row r="33" spans="1:3">
      <c r="A33" s="7">
        <v>129.99</v>
      </c>
      <c r="B33" s="7">
        <v>1</v>
      </c>
      <c r="C33" s="12">
        <v>142.989</v>
      </c>
    </row>
    <row r="34" spans="1:3">
      <c r="A34" s="7">
        <v>19.989999999999998</v>
      </c>
      <c r="B34" s="7">
        <v>4</v>
      </c>
      <c r="C34" s="12">
        <v>87.956000000000003</v>
      </c>
    </row>
    <row r="35" spans="1:3">
      <c r="A35" s="7">
        <v>149.99</v>
      </c>
      <c r="B35" s="7">
        <v>1</v>
      </c>
      <c r="C35" s="12">
        <v>164.989</v>
      </c>
    </row>
    <row r="36" spans="1:3">
      <c r="A36" s="7">
        <v>69.989999999999995</v>
      </c>
      <c r="B36" s="7">
        <v>2</v>
      </c>
      <c r="C36" s="12">
        <v>153.97800000000001</v>
      </c>
    </row>
    <row r="37" spans="1:3">
      <c r="A37" s="7">
        <v>39.99</v>
      </c>
      <c r="B37" s="7">
        <v>3</v>
      </c>
      <c r="C37" s="12">
        <v>131.96700000000001</v>
      </c>
    </row>
    <row r="38" spans="1:3">
      <c r="A38" s="7">
        <v>199.99</v>
      </c>
      <c r="B38" s="7">
        <v>1</v>
      </c>
      <c r="C38" s="12">
        <v>219.989</v>
      </c>
    </row>
    <row r="39" spans="1:3">
      <c r="A39" s="7">
        <v>29.99</v>
      </c>
      <c r="B39" s="7">
        <v>5</v>
      </c>
      <c r="C39" s="12">
        <v>164.94499999999999</v>
      </c>
    </row>
    <row r="40" spans="1:3">
      <c r="A40" s="7">
        <v>79.989999999999995</v>
      </c>
      <c r="B40" s="7">
        <v>2</v>
      </c>
      <c r="C40" s="12">
        <v>175.97800000000001</v>
      </c>
    </row>
    <row r="41" spans="1:3">
      <c r="A41" s="7">
        <v>49.99</v>
      </c>
      <c r="B41" s="7">
        <v>3</v>
      </c>
      <c r="C41" s="12">
        <v>164.96700000000001</v>
      </c>
    </row>
    <row r="42" spans="1:3">
      <c r="A42" s="7">
        <v>129.99</v>
      </c>
      <c r="B42" s="7">
        <v>1</v>
      </c>
      <c r="C42" s="12">
        <v>142.989</v>
      </c>
    </row>
    <row r="43" spans="1:3">
      <c r="A43" s="7">
        <v>19.989999999999998</v>
      </c>
      <c r="B43" s="7">
        <v>4</v>
      </c>
      <c r="C43" s="12">
        <v>87.956000000000003</v>
      </c>
    </row>
    <row r="44" spans="1:3">
      <c r="A44" s="7">
        <v>149.99</v>
      </c>
      <c r="B44" s="7">
        <v>1</v>
      </c>
      <c r="C44" s="12">
        <v>164.989</v>
      </c>
    </row>
    <row r="45" spans="1:3">
      <c r="A45" s="7">
        <v>69.989999999999995</v>
      </c>
      <c r="B45" s="7">
        <v>2</v>
      </c>
      <c r="C45" s="12">
        <v>153.97800000000001</v>
      </c>
    </row>
    <row r="46" spans="1:3">
      <c r="A46" s="7">
        <v>39.99</v>
      </c>
      <c r="B46" s="7">
        <v>3</v>
      </c>
      <c r="C46" s="12">
        <v>131.96700000000001</v>
      </c>
    </row>
    <row r="47" spans="1:3">
      <c r="A47" s="7">
        <v>199.99</v>
      </c>
      <c r="B47" s="7">
        <v>1</v>
      </c>
      <c r="C47" s="12">
        <v>219.989</v>
      </c>
    </row>
    <row r="48" spans="1:3">
      <c r="A48" s="7">
        <v>29.99</v>
      </c>
      <c r="B48" s="7">
        <v>5</v>
      </c>
      <c r="C48" s="12">
        <v>164.94499999999999</v>
      </c>
    </row>
    <row r="49" spans="1:3">
      <c r="A49" s="7">
        <v>79.989999999999995</v>
      </c>
      <c r="B49" s="7">
        <v>2</v>
      </c>
      <c r="C49" s="12">
        <v>175.97800000000001</v>
      </c>
    </row>
    <row r="50" spans="1:3">
      <c r="A50" s="7">
        <v>49.99</v>
      </c>
      <c r="B50" s="7">
        <v>3</v>
      </c>
      <c r="C50" s="12">
        <v>164.96700000000001</v>
      </c>
    </row>
    <row r="51" spans="1:3">
      <c r="A51" s="7">
        <v>129.99</v>
      </c>
      <c r="B51" s="7">
        <v>1</v>
      </c>
      <c r="C51" s="12">
        <v>142.989</v>
      </c>
    </row>
    <row r="52" spans="1:3">
      <c r="A52" s="7">
        <v>19.989999999999998</v>
      </c>
      <c r="B52" s="7">
        <v>4</v>
      </c>
      <c r="C52" s="12">
        <v>87.956000000000003</v>
      </c>
    </row>
    <row r="53" spans="1:3">
      <c r="A53" s="7">
        <v>149.99</v>
      </c>
      <c r="B53" s="7">
        <v>1</v>
      </c>
      <c r="C53" s="12">
        <v>164.989</v>
      </c>
    </row>
    <row r="54" spans="1:3">
      <c r="A54" s="7">
        <v>69.989999999999995</v>
      </c>
      <c r="B54" s="7">
        <v>2</v>
      </c>
      <c r="C54" s="12">
        <v>153.97800000000001</v>
      </c>
    </row>
    <row r="55" spans="1:3">
      <c r="A55" s="7">
        <v>39.99</v>
      </c>
      <c r="B55" s="7">
        <v>3</v>
      </c>
      <c r="C55" s="12">
        <v>131.96700000000001</v>
      </c>
    </row>
    <row r="56" spans="1:3">
      <c r="A56" s="7">
        <v>199.99</v>
      </c>
      <c r="B56" s="7">
        <v>1</v>
      </c>
      <c r="C56" s="12">
        <v>219.989</v>
      </c>
    </row>
    <row r="57" spans="1:3">
      <c r="A57" s="7">
        <v>29.99</v>
      </c>
      <c r="B57" s="7">
        <v>5</v>
      </c>
      <c r="C57" s="12">
        <v>164.94499999999999</v>
      </c>
    </row>
    <row r="58" spans="1:3">
      <c r="A58" s="7">
        <v>79.989999999999995</v>
      </c>
      <c r="B58" s="7">
        <v>2</v>
      </c>
      <c r="C58" s="12">
        <v>175.97800000000001</v>
      </c>
    </row>
    <row r="59" spans="1:3">
      <c r="A59" s="7">
        <v>49.99</v>
      </c>
      <c r="B59" s="7">
        <v>3</v>
      </c>
      <c r="C59" s="12">
        <v>164.96700000000001</v>
      </c>
    </row>
    <row r="60" spans="1:3">
      <c r="A60" s="7">
        <v>129.99</v>
      </c>
      <c r="B60" s="7">
        <v>1</v>
      </c>
      <c r="C60" s="12">
        <v>142.989</v>
      </c>
    </row>
    <row r="61" spans="1:3">
      <c r="A61" s="7">
        <v>19.989999999999998</v>
      </c>
      <c r="B61" s="7">
        <v>4</v>
      </c>
      <c r="C61" s="12">
        <v>87.956000000000003</v>
      </c>
    </row>
    <row r="62" spans="1:3">
      <c r="A62" s="7">
        <v>149.99</v>
      </c>
      <c r="B62" s="7">
        <v>1</v>
      </c>
      <c r="C62" s="12">
        <v>164.989</v>
      </c>
    </row>
    <row r="63" spans="1:3">
      <c r="A63" s="7">
        <v>69.989999999999995</v>
      </c>
      <c r="B63" s="7">
        <v>2</v>
      </c>
      <c r="C63" s="12">
        <v>153.97800000000001</v>
      </c>
    </row>
    <row r="64" spans="1:3">
      <c r="A64" s="7">
        <v>39.99</v>
      </c>
      <c r="B64" s="7">
        <v>3</v>
      </c>
      <c r="C64" s="12">
        <v>131.96700000000001</v>
      </c>
    </row>
    <row r="65" spans="1:3">
      <c r="A65" s="7">
        <v>199.99</v>
      </c>
      <c r="B65" s="7">
        <v>1</v>
      </c>
      <c r="C65" s="12">
        <v>219.989</v>
      </c>
    </row>
    <row r="66" spans="1:3">
      <c r="A66" s="7">
        <v>29.99</v>
      </c>
      <c r="B66" s="7">
        <v>5</v>
      </c>
      <c r="C66" s="12">
        <v>164.94499999999999</v>
      </c>
    </row>
    <row r="67" spans="1:3">
      <c r="A67" s="7">
        <v>79.989999999999995</v>
      </c>
      <c r="B67" s="7">
        <v>2</v>
      </c>
      <c r="C67" s="12">
        <v>175.97800000000001</v>
      </c>
    </row>
    <row r="68" spans="1:3">
      <c r="A68" s="7">
        <v>49.99</v>
      </c>
      <c r="B68" s="7">
        <v>3</v>
      </c>
      <c r="C68" s="12">
        <v>164.96700000000001</v>
      </c>
    </row>
    <row r="69" spans="1:3">
      <c r="A69" s="7">
        <v>129.99</v>
      </c>
      <c r="B69" s="7">
        <v>1</v>
      </c>
      <c r="C69" s="12">
        <v>142.989</v>
      </c>
    </row>
    <row r="70" spans="1:3">
      <c r="A70" s="7">
        <v>19.989999999999998</v>
      </c>
      <c r="B70" s="7">
        <v>4</v>
      </c>
      <c r="C70" s="12">
        <v>87.956000000000003</v>
      </c>
    </row>
    <row r="71" spans="1:3">
      <c r="A71" s="9">
        <v>149.99</v>
      </c>
      <c r="B71" s="9">
        <v>1</v>
      </c>
      <c r="C71" s="13">
        <v>164.989</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1b053ef3-636f-4b4b-9d03-5562b913a2b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D97A38FD14C964D8496E940B63D34B5" ma:contentTypeVersion="6" ma:contentTypeDescription="Create a new document." ma:contentTypeScope="" ma:versionID="626c224bb888d1afdf18fb2560336e96">
  <xsd:schema xmlns:xsd="http://www.w3.org/2001/XMLSchema" xmlns:xs="http://www.w3.org/2001/XMLSchema" xmlns:p="http://schemas.microsoft.com/office/2006/metadata/properties" xmlns:ns3="1b053ef3-636f-4b4b-9d03-5562b913a2ba" targetNamespace="http://schemas.microsoft.com/office/2006/metadata/properties" ma:root="true" ma:fieldsID="6fa063f355b08548bbea38ecfcff0721" ns3:_="">
    <xsd:import namespace="1b053ef3-636f-4b4b-9d03-5562b913a2ba"/>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b053ef3-636f-4b4b-9d03-5562b913a2ba"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86CB3A-879E-41CD-A56D-F772E84D66B4}"/>
</file>

<file path=customXml/itemProps2.xml><?xml version="1.0" encoding="utf-8"?>
<ds:datastoreItem xmlns:ds="http://schemas.openxmlformats.org/officeDocument/2006/customXml" ds:itemID="{E6C04BFB-EFFC-4DCC-B97D-F04BE5152C28}"/>
</file>

<file path=customXml/itemProps3.xml><?xml version="1.0" encoding="utf-8"?>
<ds:datastoreItem xmlns:ds="http://schemas.openxmlformats.org/officeDocument/2006/customXml" ds:itemID="{D0A6675F-872D-44F2-81CA-839F66647D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Leon Shilisia</dc:creator>
  <cp:keywords/>
  <dc:description/>
  <cp:lastModifiedBy/>
  <cp:revision/>
  <dcterms:created xsi:type="dcterms:W3CDTF">2025-06-24T10:52:43Z</dcterms:created>
  <dcterms:modified xsi:type="dcterms:W3CDTF">2025-10-10T09:28:08Z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0x0101000D97A38FD14C964D8496E940B63D34B5</vt:lpwstr>
  </property>
  <property fmtid="{D5CDD505-2E9C-101B-9397-08002B2CF9AE}" pid="3" name="gvdocid">
    <vt:lpwstr>6aa6da3e-b106-47bc-b9bb-6ac8a7aa7706</vt:lpwstr>
  </property>
  <property fmtid="{D5CDD505-2E9C-101B-9397-08002B2CF9AE}" pid="4" name="GVData">
    <vt:lpwstr>eyJPUyI6IldpbmRvd3MiLCJkb2NJRCI6IjZhYTZkYTNlLWIxMDYtNDdiYy1iOWJiLTZhYzhhN2FhNzcwNiIsImRvY1N0YXRlIjoie30iLCJwYXJlbnRMaW5lSWRzIjoiW10iLCJ3cml0dGVuS2V5cyI6IltcImd2ZG9jaWRcIl0iLCJub09mR3ZEYXRhRW50cmllcyI6</vt:lpwstr>
  </property>
  <property fmtid="{D5CDD505-2E9C-101B-9397-08002B2CF9AE}" pid="5" name="GVData0">
    <vt:lpwstr>IjQifQ==</vt:lpwstr>
  </property>
  <property fmtid="{D5CDD505-2E9C-101B-9397-08002B2CF9AE}" pid="6" name="GVData1">
    <vt:lpwstr>(end)</vt:lpwstr>
  </property>
</Properties>
</file>